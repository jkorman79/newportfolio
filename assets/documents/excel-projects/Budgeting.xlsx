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sephkorman/Desktop/Coding/New and Improved Portfolio/assets/documents/excel-projects/"/>
    </mc:Choice>
  </mc:AlternateContent>
  <xr:revisionPtr revIDLastSave="0" documentId="13_ncr:1_{41B7E94D-E731-A142-A37A-BC809FA684A6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Jan" sheetId="25" r:id="rId1"/>
    <sheet name="Feb" sheetId="26" r:id="rId2"/>
    <sheet name="Mar" sheetId="28" r:id="rId3"/>
    <sheet name="April" sheetId="29" r:id="rId4"/>
    <sheet name="May" sheetId="30" r:id="rId5"/>
    <sheet name="Jun" sheetId="31" r:id="rId6"/>
    <sheet name="Jul" sheetId="32" r:id="rId7"/>
    <sheet name="Aug" sheetId="33" r:id="rId8"/>
    <sheet name="Sep" sheetId="34" r:id="rId9"/>
    <sheet name="Oct" sheetId="35" r:id="rId10"/>
    <sheet name="Nov" sheetId="36" r:id="rId11"/>
    <sheet name="Dec" sheetId="37" r:id="rId12"/>
    <sheet name="Totals" sheetId="7" r:id="rId13"/>
    <sheet name="Chart Data" sheetId="2" state="hidden" r:id="rId14"/>
  </sheets>
  <definedNames>
    <definedName name="Total_Monthly_Expenses">#REF!</definedName>
    <definedName name="Total_Monthly_Income">#REF!</definedName>
    <definedName name="Total_Monthly_Savings">#REF!</definedName>
    <definedName name="TotalMonthlyExpenses">#REF!</definedName>
    <definedName name="TotalMonthlyIncome">#REF!</definedName>
    <definedName name="TotalMonthlySaving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7" l="1"/>
  <c r="M10" i="7"/>
  <c r="M9" i="7"/>
  <c r="M5" i="7"/>
  <c r="M4" i="7"/>
  <c r="L11" i="7"/>
  <c r="L10" i="7"/>
  <c r="L9" i="7"/>
  <c r="L5" i="7"/>
  <c r="L4" i="7"/>
  <c r="K11" i="7"/>
  <c r="K10" i="7"/>
  <c r="K9" i="7"/>
  <c r="K5" i="7"/>
  <c r="K4" i="7"/>
  <c r="J11" i="7"/>
  <c r="J10" i="7"/>
  <c r="J9" i="7"/>
  <c r="J5" i="7"/>
  <c r="J4" i="7"/>
  <c r="I11" i="7"/>
  <c r="I10" i="7"/>
  <c r="I9" i="7"/>
  <c r="I5" i="7"/>
  <c r="I4" i="7"/>
  <c r="H11" i="7"/>
  <c r="H10" i="7"/>
  <c r="H9" i="7"/>
  <c r="H5" i="7"/>
  <c r="H4" i="7"/>
  <c r="G11" i="7"/>
  <c r="G10" i="7"/>
  <c r="G9" i="7"/>
  <c r="G5" i="7"/>
  <c r="G4" i="7"/>
  <c r="F11" i="7"/>
  <c r="F10" i="7"/>
  <c r="F9" i="7"/>
  <c r="F5" i="7"/>
  <c r="F4" i="7"/>
  <c r="E11" i="7"/>
  <c r="E10" i="7"/>
  <c r="E9" i="7"/>
  <c r="E5" i="7"/>
  <c r="E4" i="7"/>
  <c r="D9" i="7"/>
  <c r="D5" i="7"/>
  <c r="B24" i="37"/>
  <c r="P22" i="37"/>
  <c r="M22" i="37"/>
  <c r="I22" i="37"/>
  <c r="F22" i="37"/>
  <c r="C22" i="37"/>
  <c r="B24" i="36"/>
  <c r="P22" i="36"/>
  <c r="M22" i="36"/>
  <c r="I22" i="36"/>
  <c r="F22" i="36"/>
  <c r="C22" i="36"/>
  <c r="B24" i="35"/>
  <c r="P22" i="35"/>
  <c r="M22" i="35"/>
  <c r="I22" i="35"/>
  <c r="F22" i="35"/>
  <c r="C22" i="35"/>
  <c r="B24" i="34"/>
  <c r="P22" i="34"/>
  <c r="M22" i="34"/>
  <c r="I22" i="34"/>
  <c r="F22" i="34"/>
  <c r="C22" i="34"/>
  <c r="B24" i="33"/>
  <c r="P22" i="33"/>
  <c r="M22" i="33"/>
  <c r="I22" i="33"/>
  <c r="F22" i="33"/>
  <c r="C22" i="33"/>
  <c r="B24" i="32"/>
  <c r="P22" i="32"/>
  <c r="M22" i="32"/>
  <c r="I22" i="32"/>
  <c r="F22" i="32"/>
  <c r="C22" i="32"/>
  <c r="B24" i="31"/>
  <c r="P22" i="31"/>
  <c r="M22" i="31"/>
  <c r="I22" i="31"/>
  <c r="F22" i="31"/>
  <c r="C22" i="31"/>
  <c r="B24" i="30"/>
  <c r="P22" i="30"/>
  <c r="M22" i="30"/>
  <c r="I22" i="30"/>
  <c r="F22" i="30"/>
  <c r="C22" i="30"/>
  <c r="B24" i="29"/>
  <c r="P22" i="29"/>
  <c r="M22" i="29"/>
  <c r="I22" i="29"/>
  <c r="F22" i="29"/>
  <c r="C22" i="29"/>
  <c r="B24" i="28"/>
  <c r="P22" i="28"/>
  <c r="M22" i="28"/>
  <c r="B26" i="28" s="1"/>
  <c r="I22" i="28"/>
  <c r="D11" i="7" s="1"/>
  <c r="F22" i="28"/>
  <c r="D10" i="7" s="1"/>
  <c r="C22" i="28"/>
  <c r="B24" i="26"/>
  <c r="P22" i="26"/>
  <c r="C5" i="7" s="1"/>
  <c r="M22" i="26"/>
  <c r="C4" i="7" s="1"/>
  <c r="I22" i="26"/>
  <c r="C11" i="7" s="1"/>
  <c r="F22" i="26"/>
  <c r="C10" i="7" s="1"/>
  <c r="C22" i="26"/>
  <c r="C9" i="7" s="1"/>
  <c r="P13" i="25"/>
  <c r="B5" i="7" s="1"/>
  <c r="N5" i="7" s="1"/>
  <c r="C13" i="25"/>
  <c r="B9" i="7" s="1"/>
  <c r="B15" i="25"/>
  <c r="M13" i="25"/>
  <c r="B4" i="7" s="1"/>
  <c r="I13" i="25"/>
  <c r="B11" i="7" s="1"/>
  <c r="N11" i="7" s="1"/>
  <c r="F13" i="25"/>
  <c r="B10" i="7" s="1"/>
  <c r="N10" i="7" s="1"/>
  <c r="M8" i="7"/>
  <c r="L8" i="7"/>
  <c r="K8" i="7"/>
  <c r="J8" i="7"/>
  <c r="I8" i="7"/>
  <c r="H8" i="7"/>
  <c r="G8" i="7"/>
  <c r="F8" i="7"/>
  <c r="E8" i="7"/>
  <c r="D8" i="7"/>
  <c r="C8" i="7"/>
  <c r="B8" i="7"/>
  <c r="N4" i="7" l="1"/>
  <c r="B6" i="7"/>
  <c r="B12" i="7"/>
  <c r="N9" i="7"/>
  <c r="B26" i="37"/>
  <c r="B27" i="37"/>
  <c r="P24" i="37"/>
  <c r="B26" i="35"/>
  <c r="B26" i="36"/>
  <c r="B28" i="36" s="1"/>
  <c r="P24" i="36"/>
  <c r="B27" i="36"/>
  <c r="B27" i="35"/>
  <c r="B28" i="35" s="1"/>
  <c r="P24" i="35"/>
  <c r="B26" i="34"/>
  <c r="B27" i="34"/>
  <c r="P24" i="34"/>
  <c r="B26" i="33"/>
  <c r="P24" i="33"/>
  <c r="B27" i="33"/>
  <c r="B26" i="32"/>
  <c r="P24" i="32"/>
  <c r="B27" i="32"/>
  <c r="B26" i="31"/>
  <c r="B27" i="31"/>
  <c r="B28" i="31" s="1"/>
  <c r="P24" i="31"/>
  <c r="B26" i="30"/>
  <c r="B27" i="30"/>
  <c r="P24" i="30"/>
  <c r="B26" i="29"/>
  <c r="P24" i="29"/>
  <c r="B27" i="29"/>
  <c r="D4" i="7"/>
  <c r="B27" i="28"/>
  <c r="P24" i="28"/>
  <c r="B28" i="37"/>
  <c r="B28" i="33"/>
  <c r="B28" i="32"/>
  <c r="B28" i="30"/>
  <c r="B28" i="29"/>
  <c r="B28" i="28"/>
  <c r="B26" i="26"/>
  <c r="P24" i="26"/>
  <c r="B27" i="26"/>
  <c r="B28" i="26" s="1"/>
  <c r="B17" i="25"/>
  <c r="B18" i="25"/>
  <c r="I6" i="7"/>
  <c r="M6" i="7"/>
  <c r="L6" i="7"/>
  <c r="G6" i="7"/>
  <c r="P15" i="25"/>
  <c r="J12" i="7"/>
  <c r="F6" i="7"/>
  <c r="M12" i="7"/>
  <c r="K12" i="7"/>
  <c r="I12" i="7"/>
  <c r="G12" i="7"/>
  <c r="L12" i="7"/>
  <c r="L14" i="7" s="1"/>
  <c r="F12" i="7"/>
  <c r="H6" i="7"/>
  <c r="J6" i="7"/>
  <c r="J14" i="7" s="1"/>
  <c r="K6" i="7"/>
  <c r="E12" i="7"/>
  <c r="E6" i="7"/>
  <c r="H12" i="7"/>
  <c r="B14" i="7" l="1"/>
  <c r="B28" i="34"/>
  <c r="I14" i="7"/>
  <c r="M14" i="7"/>
  <c r="H14" i="7"/>
  <c r="G14" i="7"/>
  <c r="B19" i="25"/>
  <c r="K14" i="7"/>
  <c r="F14" i="7"/>
  <c r="E14" i="7"/>
  <c r="D6" i="7" l="1"/>
  <c r="C6" i="7" l="1"/>
  <c r="N6" i="7" s="1"/>
  <c r="N12" i="7"/>
  <c r="C12" i="7"/>
  <c r="D12" i="7"/>
  <c r="D14" i="7" s="1"/>
  <c r="B6" i="2"/>
  <c r="B5" i="2"/>
  <c r="B4" i="2" s="1"/>
  <c r="C14" i="7" l="1"/>
  <c r="N14" i="7"/>
</calcChain>
</file>

<file path=xl/sharedStrings.xml><?xml version="1.0" encoding="utf-8"?>
<sst xmlns="http://schemas.openxmlformats.org/spreadsheetml/2006/main" count="429" uniqueCount="54">
  <si>
    <t>Other</t>
  </si>
  <si>
    <t>Amount</t>
  </si>
  <si>
    <t>Date</t>
  </si>
  <si>
    <t>CHART DATA</t>
  </si>
  <si>
    <t>Expenses</t>
  </si>
  <si>
    <t xml:space="preserve">Fixed </t>
  </si>
  <si>
    <t>Flexible</t>
  </si>
  <si>
    <t>Discretionary</t>
  </si>
  <si>
    <t>Cost</t>
  </si>
  <si>
    <t>Source</t>
  </si>
  <si>
    <t>Income</t>
  </si>
  <si>
    <t>Work</t>
  </si>
  <si>
    <t>Total</t>
  </si>
  <si>
    <t>Beg. Bal</t>
  </si>
  <si>
    <t>End Bal.</t>
  </si>
  <si>
    <t>Flexible Expenses</t>
  </si>
  <si>
    <t>Discretionary Expenses</t>
  </si>
  <si>
    <t>Fixed 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</si>
  <si>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</si>
  <si>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</si>
  <si>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</si>
  <si>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</si>
  <si>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</si>
  <si>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</si>
  <si>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</si>
  <si>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</si>
  <si>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</si>
  <si>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</si>
  <si>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</si>
  <si>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</si>
  <si>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Net</t>
  </si>
  <si>
    <t>Amount Spent</t>
  </si>
  <si>
    <t>Remaining</t>
  </si>
  <si>
    <t>Total Income</t>
  </si>
  <si>
    <t>Amount Earned</t>
  </si>
  <si>
    <t>January 20XX</t>
  </si>
  <si>
    <t>February 20XX</t>
  </si>
  <si>
    <t>March 20XX</t>
  </si>
  <si>
    <t>April 20XX</t>
  </si>
  <si>
    <t>May 20XX</t>
  </si>
  <si>
    <t>June 20XX</t>
  </si>
  <si>
    <t>July 20XX</t>
  </si>
  <si>
    <t>August 20XX</t>
  </si>
  <si>
    <t>September 20XX</t>
  </si>
  <si>
    <t>October 20XX</t>
  </si>
  <si>
    <t>November 20XX</t>
  </si>
  <si>
    <t>December 20XX</t>
  </si>
  <si>
    <t>20XX Totals</t>
  </si>
  <si>
    <t>Rent</t>
  </si>
  <si>
    <t>Groceries</t>
  </si>
  <si>
    <t>Gas</t>
  </si>
  <si>
    <t>Night Out</t>
  </si>
  <si>
    <t>Paycheck</t>
  </si>
  <si>
    <t>Venmo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</si>
</sst>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m/d;@"/>
  </numFmts>
  <fonts count="28">
    <font>
      <b/>
      <sz val="12"/>
      <color theme="3" tint="0.39991454817346722"/>
      <name val="Arial"/>
      <family val="2"/>
      <scheme val="minor"/>
    </font>
    <font>
      <sz val="12"/>
      <color theme="1"/>
      <name val="Arial"/>
      <family val="2"/>
      <scheme val="minor"/>
    </font>
    <font>
      <b/>
      <sz val="18"/>
      <color theme="3"/>
      <name val="Arial"/>
      <family val="2"/>
      <scheme val="minor"/>
    </font>
    <font>
      <sz val="12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sz val="29"/>
      <color theme="3"/>
      <name val="Arial"/>
      <family val="2"/>
      <scheme val="major"/>
    </font>
    <font>
      <sz val="12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0"/>
      <color rgb="FF002060"/>
      <name val="Arial Rounded MT Bold"/>
      <family val="2"/>
    </font>
    <font>
      <b/>
      <sz val="12"/>
      <color theme="3" tint="0.39991454817346722"/>
      <name val="Arial Rounded MT Bold"/>
      <family val="2"/>
    </font>
    <font>
      <b/>
      <sz val="18"/>
      <color rgb="FF002060"/>
      <name val="Arial Rounded MT Bold"/>
      <family val="2"/>
    </font>
    <font>
      <sz val="10"/>
      <color theme="3" tint="0.24994659260841701"/>
      <name val="Arial"/>
      <family val="2"/>
      <scheme val="minor"/>
    </font>
    <font>
      <sz val="10"/>
      <color theme="4"/>
      <name val="Arial"/>
      <family val="2"/>
      <scheme val="major"/>
    </font>
    <font>
      <sz val="13"/>
      <color theme="3" tint="0.24994659260841701"/>
      <name val="Arial"/>
      <family val="2"/>
      <scheme val="major"/>
    </font>
    <font>
      <sz val="24"/>
      <color theme="3" tint="0.24994659260841701"/>
      <name val="Arial"/>
      <family val="2"/>
      <scheme val="minor"/>
    </font>
    <font>
      <sz val="20"/>
      <color theme="0"/>
      <name val="Arial"/>
      <family val="2"/>
      <scheme val="major"/>
    </font>
    <font>
      <b/>
      <sz val="16"/>
      <color theme="1"/>
      <name val="Arial"/>
      <family val="2"/>
      <scheme val="minor"/>
    </font>
    <font>
      <b/>
      <sz val="12"/>
      <color theme="3" tint="0.39991454817346722"/>
      <name val="Arial"/>
      <family val="2"/>
      <scheme val="minor"/>
    </font>
    <font>
      <b/>
      <sz val="13"/>
      <color theme="1"/>
      <name val="Arial Rounded MT Bold"/>
      <family val="2"/>
    </font>
    <font>
      <sz val="13"/>
      <color theme="1"/>
      <name val="Arial Rounded MT Bold"/>
      <family val="2"/>
    </font>
    <font>
      <b/>
      <sz val="16"/>
      <color theme="0"/>
      <name val="Arial"/>
      <family val="2"/>
      <scheme val="minor"/>
    </font>
    <font>
      <b/>
      <sz val="20"/>
      <color theme="1"/>
      <name val="Montserrat"/>
    </font>
    <font>
      <b/>
      <sz val="14"/>
      <color theme="3" tint="0.39991454817346722"/>
      <name val="Arial"/>
      <family val="2"/>
      <scheme val="minor"/>
    </font>
    <font>
      <b/>
      <sz val="20"/>
      <color theme="0"/>
      <name val="Montserrat"/>
    </font>
    <font>
      <b/>
      <sz val="29"/>
      <color rgb="FF002060"/>
      <name val="Montserrat"/>
    </font>
    <font>
      <b/>
      <sz val="29"/>
      <color theme="9"/>
      <name val="Montserrat"/>
    </font>
    <font>
      <b/>
      <sz val="25"/>
      <color theme="9"/>
      <name val="Montserrat"/>
    </font>
  </fonts>
  <fills count="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4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6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6"/>
      </right>
      <top/>
      <bottom style="thin">
        <color theme="1"/>
      </bottom>
      <diagonal/>
    </border>
    <border>
      <left style="thin">
        <color theme="6"/>
      </left>
      <right/>
      <top/>
      <bottom/>
      <diagonal/>
    </border>
    <border>
      <left style="medium">
        <color theme="1"/>
      </left>
      <right style="thin">
        <color theme="6"/>
      </right>
      <top/>
      <bottom/>
      <diagonal/>
    </border>
    <border>
      <left style="thin">
        <color theme="6"/>
      </left>
      <right/>
      <top style="medium">
        <color theme="1"/>
      </top>
      <bottom/>
      <diagonal/>
    </border>
    <border>
      <left style="medium">
        <color theme="1"/>
      </left>
      <right style="thin">
        <color theme="6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0.24994659260841701"/>
      </bottom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  <border>
      <left/>
      <right style="thin">
        <color theme="6"/>
      </right>
      <top style="thin">
        <color theme="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6">
    <xf numFmtId="0" fontId="0" fillId="0" borderId="0"/>
    <xf numFmtId="0" fontId="5" fillId="0" borderId="0" applyNumberFormat="0" applyFill="0" applyAlignment="0" applyProtection="0"/>
    <xf numFmtId="0" fontId="4" fillId="0" borderId="0" applyNumberFormat="0" applyFill="0" applyProtection="0">
      <alignment horizontal="left"/>
    </xf>
    <xf numFmtId="0" fontId="2" fillId="0" borderId="0" applyNumberFormat="0" applyFill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12" fillId="4" borderId="0"/>
    <xf numFmtId="0" fontId="13" fillId="4" borderId="22" applyNumberFormat="0" applyAlignment="0" applyProtection="0"/>
    <xf numFmtId="0" fontId="14" fillId="4" borderId="0" applyNumberFormat="0" applyProtection="0">
      <alignment horizontal="left"/>
    </xf>
    <xf numFmtId="165" fontId="15" fillId="4" borderId="0" applyAlignment="0" applyProtection="0"/>
    <xf numFmtId="0" fontId="16" fillId="5" borderId="0" applyNumberFormat="0" applyBorder="0" applyProtection="0">
      <alignment horizontal="left" vertical="center"/>
    </xf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76">
    <xf numFmtId="0" fontId="0" fillId="0" borderId="0" xfId="0"/>
    <xf numFmtId="9" fontId="6" fillId="0" borderId="0" xfId="0" applyNumberFormat="1" applyFont="1"/>
    <xf numFmtId="0" fontId="7" fillId="0" borderId="0" xfId="4" applyFill="1" applyBorder="1" applyAlignment="1">
      <alignment horizontal="center"/>
    </xf>
    <xf numFmtId="0" fontId="7" fillId="2" borderId="8" xfId="4" applyFill="1" applyBorder="1" applyAlignment="1">
      <alignment horizontal="center"/>
    </xf>
    <xf numFmtId="0" fontId="7" fillId="2" borderId="13" xfId="4" applyFill="1" applyBorder="1" applyAlignment="1">
      <alignment horizontal="center"/>
    </xf>
    <xf numFmtId="0" fontId="7" fillId="2" borderId="14" xfId="4" applyFill="1" applyBorder="1" applyAlignment="1">
      <alignment horizontal="center"/>
    </xf>
    <xf numFmtId="0" fontId="8" fillId="0" borderId="0" xfId="5" applyBorder="1"/>
    <xf numFmtId="0" fontId="10" fillId="0" borderId="0" xfId="0" applyFont="1"/>
    <xf numFmtId="164" fontId="0" fillId="0" borderId="0" xfId="0" applyNumberFormat="1"/>
    <xf numFmtId="8" fontId="8" fillId="0" borderId="2" xfId="5" applyNumberFormat="1"/>
    <xf numFmtId="0" fontId="17" fillId="0" borderId="2" xfId="5" applyFont="1"/>
    <xf numFmtId="0" fontId="4" fillId="0" borderId="0" xfId="2" applyAlignment="1">
      <alignment horizontal="center"/>
    </xf>
    <xf numFmtId="0" fontId="20" fillId="0" borderId="0" xfId="0" applyFont="1"/>
    <xf numFmtId="0" fontId="4" fillId="0" borderId="29" xfId="2" applyBorder="1" applyAlignment="1">
      <alignment horizontal="center"/>
    </xf>
    <xf numFmtId="0" fontId="19" fillId="0" borderId="28" xfId="0" applyFont="1" applyBorder="1"/>
    <xf numFmtId="0" fontId="20" fillId="0" borderId="29" xfId="0" applyFont="1" applyBorder="1"/>
    <xf numFmtId="0" fontId="19" fillId="0" borderId="28" xfId="0" applyFont="1" applyBorder="1" applyAlignment="1">
      <alignment horizontal="right"/>
    </xf>
    <xf numFmtId="0" fontId="22" fillId="0" borderId="30" xfId="5" applyFont="1" applyBorder="1" applyAlignment="1">
      <alignment horizontal="right"/>
    </xf>
    <xf numFmtId="0" fontId="0" fillId="0" borderId="0" xfId="0" applyAlignment="1">
      <alignment vertical="center"/>
    </xf>
    <xf numFmtId="0" fontId="4" fillId="0" borderId="28" xfId="2" applyBorder="1" applyAlignment="1">
      <alignment horizontal="right"/>
    </xf>
    <xf numFmtId="44" fontId="21" fillId="6" borderId="33" xfId="13" applyNumberFormat="1" applyFont="1" applyBorder="1" applyAlignment="1">
      <alignment vertical="center"/>
    </xf>
    <xf numFmtId="44" fontId="21" fillId="6" borderId="34" xfId="13" applyNumberFormat="1" applyFont="1" applyBorder="1" applyAlignment="1">
      <alignment vertical="center"/>
    </xf>
    <xf numFmtId="44" fontId="17" fillId="0" borderId="2" xfId="5" applyNumberFormat="1" applyFont="1" applyAlignment="1">
      <alignment vertical="center"/>
    </xf>
    <xf numFmtId="44" fontId="17" fillId="0" borderId="31" xfId="5" applyNumberFormat="1" applyFont="1" applyBorder="1" applyAlignment="1">
      <alignment vertical="center"/>
    </xf>
    <xf numFmtId="0" fontId="24" fillId="6" borderId="32" xfId="13" applyFont="1" applyBorder="1" applyAlignment="1">
      <alignment horizontal="right"/>
    </xf>
    <xf numFmtId="164" fontId="0" fillId="0" borderId="0" xfId="12" applyNumberFormat="1" applyFont="1" applyAlignment="1"/>
    <xf numFmtId="44" fontId="8" fillId="0" borderId="21" xfId="11" applyFont="1" applyBorder="1" applyAlignment="1">
      <alignment horizontal="center"/>
    </xf>
    <xf numFmtId="44" fontId="8" fillId="0" borderId="21" xfId="11" applyFont="1" applyBorder="1" applyAlignment="1">
      <alignment horizontal="center" vertical="center"/>
    </xf>
    <xf numFmtId="44" fontId="8" fillId="0" borderId="20" xfId="11" applyFont="1" applyBorder="1" applyAlignment="1">
      <alignment horizontal="center"/>
    </xf>
    <xf numFmtId="166" fontId="8" fillId="0" borderId="17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6" fontId="8" fillId="0" borderId="39" xfId="0" applyNumberFormat="1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166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44" fontId="8" fillId="0" borderId="5" xfId="11" applyFont="1" applyFill="1" applyBorder="1" applyAlignment="1">
      <alignment horizontal="center"/>
    </xf>
    <xf numFmtId="0" fontId="8" fillId="0" borderId="6" xfId="0" applyFont="1" applyBorder="1"/>
    <xf numFmtId="44" fontId="8" fillId="0" borderId="16" xfId="11" applyFont="1" applyFill="1" applyBorder="1"/>
    <xf numFmtId="0" fontId="8" fillId="0" borderId="4" xfId="0" applyFont="1" applyBorder="1"/>
    <xf numFmtId="166" fontId="8" fillId="0" borderId="15" xfId="0" applyNumberFormat="1" applyFont="1" applyBorder="1" applyAlignment="1">
      <alignment horizontal="center"/>
    </xf>
    <xf numFmtId="166" fontId="8" fillId="0" borderId="38" xfId="0" applyNumberFormat="1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44" fontId="8" fillId="0" borderId="38" xfId="11" applyFont="1" applyFill="1" applyBorder="1" applyAlignment="1">
      <alignment horizontal="center"/>
    </xf>
    <xf numFmtId="44" fontId="8" fillId="0" borderId="3" xfId="11" applyFont="1" applyFill="1" applyBorder="1" applyAlignment="1">
      <alignment horizontal="center"/>
    </xf>
    <xf numFmtId="44" fontId="8" fillId="0" borderId="39" xfId="11" applyFont="1" applyFill="1" applyBorder="1" applyAlignment="1">
      <alignment horizontal="center"/>
    </xf>
    <xf numFmtId="44" fontId="8" fillId="0" borderId="3" xfId="11" applyFont="1" applyFill="1" applyBorder="1"/>
    <xf numFmtId="44" fontId="8" fillId="0" borderId="18" xfId="11" applyFont="1" applyFill="1" applyBorder="1"/>
    <xf numFmtId="166" fontId="8" fillId="0" borderId="40" xfId="0" applyNumberFormat="1" applyFont="1" applyBorder="1" applyAlignment="1">
      <alignment horizontal="center"/>
    </xf>
    <xf numFmtId="0" fontId="7" fillId="2" borderId="41" xfId="4" applyFill="1" applyBorder="1" applyAlignment="1">
      <alignment horizontal="center"/>
    </xf>
    <xf numFmtId="44" fontId="8" fillId="0" borderId="42" xfId="11" applyFont="1" applyFill="1" applyBorder="1" applyAlignment="1">
      <alignment horizontal="center"/>
    </xf>
    <xf numFmtId="0" fontId="17" fillId="0" borderId="28" xfId="14" applyFont="1" applyFill="1" applyBorder="1" applyAlignment="1">
      <alignment horizontal="right" vertical="center"/>
    </xf>
    <xf numFmtId="44" fontId="23" fillId="0" borderId="0" xfId="11" applyFont="1" applyFill="1" applyBorder="1" applyAlignment="1">
      <alignment horizontal="center" vertical="center"/>
    </xf>
    <xf numFmtId="44" fontId="23" fillId="0" borderId="0" xfId="11" applyFont="1" applyFill="1" applyBorder="1" applyAlignment="1">
      <alignment horizontal="left" vertical="center"/>
    </xf>
    <xf numFmtId="44" fontId="23" fillId="0" borderId="0" xfId="11" quotePrefix="1" applyFont="1" applyFill="1" applyBorder="1" applyAlignment="1">
      <alignment horizontal="center" vertical="center"/>
    </xf>
    <xf numFmtId="44" fontId="23" fillId="0" borderId="29" xfId="11" applyFont="1" applyFill="1" applyBorder="1" applyAlignment="1">
      <alignment horizontal="left" vertical="center"/>
    </xf>
    <xf numFmtId="0" fontId="17" fillId="0" borderId="28" xfId="15" applyFont="1" applyFill="1" applyBorder="1" applyAlignment="1">
      <alignment horizontal="right" vertical="center"/>
    </xf>
    <xf numFmtId="49" fontId="25" fillId="3" borderId="23" xfId="1" applyNumberFormat="1" applyFont="1" applyFill="1" applyBorder="1" applyAlignment="1">
      <alignment horizontal="center" vertical="center"/>
    </xf>
    <xf numFmtId="49" fontId="25" fillId="3" borderId="24" xfId="1" applyNumberFormat="1" applyFont="1" applyFill="1" applyBorder="1" applyAlignment="1">
      <alignment horizontal="center" vertical="center"/>
    </xf>
    <xf numFmtId="49" fontId="25" fillId="3" borderId="25" xfId="1" applyNumberFormat="1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/>
    </xf>
    <xf numFmtId="0" fontId="9" fillId="3" borderId="9" xfId="3" applyFont="1" applyFill="1" applyBorder="1" applyAlignment="1">
      <alignment horizontal="center"/>
    </xf>
    <xf numFmtId="0" fontId="9" fillId="3" borderId="7" xfId="3" applyFont="1" applyFill="1" applyBorder="1" applyAlignment="1">
      <alignment horizontal="center"/>
    </xf>
    <xf numFmtId="0" fontId="11" fillId="3" borderId="11" xfId="3" applyFont="1" applyFill="1" applyBorder="1" applyAlignment="1">
      <alignment horizontal="center"/>
    </xf>
    <xf numFmtId="0" fontId="11" fillId="3" borderId="7" xfId="3" applyFont="1" applyFill="1" applyBorder="1" applyAlignment="1">
      <alignment horizontal="center"/>
    </xf>
    <xf numFmtId="0" fontId="11" fillId="3" borderId="12" xfId="3" applyFont="1" applyFill="1" applyBorder="1" applyAlignment="1">
      <alignment horizontal="center"/>
    </xf>
    <xf numFmtId="0" fontId="8" fillId="0" borderId="19" xfId="5" applyBorder="1" applyAlignment="1">
      <alignment horizontal="center"/>
    </xf>
    <xf numFmtId="0" fontId="8" fillId="0" borderId="20" xfId="5" applyBorder="1" applyAlignment="1">
      <alignment horizontal="center"/>
    </xf>
    <xf numFmtId="0" fontId="26" fillId="0" borderId="35" xfId="1" applyFont="1" applyFill="1" applyBorder="1" applyAlignment="1">
      <alignment horizontal="center"/>
    </xf>
    <xf numFmtId="0" fontId="26" fillId="0" borderId="36" xfId="1" applyFont="1" applyFill="1" applyBorder="1" applyAlignment="1">
      <alignment horizontal="center"/>
    </xf>
    <xf numFmtId="0" fontId="26" fillId="0" borderId="37" xfId="1" applyFont="1" applyFill="1" applyBorder="1" applyAlignment="1">
      <alignment horizontal="center"/>
    </xf>
    <xf numFmtId="0" fontId="27" fillId="0" borderId="26" xfId="2" applyFont="1" applyBorder="1" applyAlignment="1">
      <alignment horizontal="center"/>
    </xf>
    <xf numFmtId="0" fontId="27" fillId="0" borderId="7" xfId="2" applyFont="1" applyBorder="1" applyAlignment="1">
      <alignment horizontal="center"/>
    </xf>
    <xf numFmtId="0" fontId="27" fillId="0" borderId="27" xfId="2" applyFont="1" applyBorder="1" applyAlignment="1">
      <alignment horizontal="center"/>
    </xf>
    <xf numFmtId="0" fontId="8" fillId="0" borderId="0" xfId="0" applyFont="1"/>
  </cellXfs>
  <cellStyles count="16">
    <cellStyle name="20% - Accent6" xfId="14" builtinId="50"/>
    <cellStyle name="40% - Accent6" xfId="15" builtinId="51"/>
    <cellStyle name="Accent6" xfId="13" builtinId="49"/>
    <cellStyle name="Currency" xfId="11" builtinId="4"/>
    <cellStyle name="Heading 1" xfId="2" builtinId="16" customBuiltin="1"/>
    <cellStyle name="Heading 1 2" xfId="8" xr:uid="{1F2D0787-3BA6-9F4A-8276-F990D707EA06}"/>
    <cellStyle name="Heading 2" xfId="3" builtinId="17" customBuiltin="1"/>
    <cellStyle name="Heading 2 2" xfId="7" xr:uid="{8AF88C99-9491-6D4E-9285-07A15E803E65}"/>
    <cellStyle name="Heading 3" xfId="4" builtinId="18"/>
    <cellStyle name="Heading 3 2" xfId="9" xr:uid="{E13DFAE9-AA6B-5F4A-AB31-AC10FC04061D}"/>
    <cellStyle name="Normal" xfId="0" builtinId="0" customBuiltin="1"/>
    <cellStyle name="Normal 2" xfId="6" xr:uid="{2AABA23C-FB09-EC4B-8E31-D6FA1B1C12DB}"/>
    <cellStyle name="Percent" xfId="12" builtinId="5"/>
    <cellStyle name="Title" xfId="1" builtinId="15" customBuiltin="1"/>
    <cellStyle name="Title 2" xfId="10" xr:uid="{D89C605F-C546-084B-BC27-AB8786FEAF71}"/>
    <cellStyle name="Total" xfId="5" builtinId="25"/>
  </cellStyles>
  <dxfs count="23"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  <dxf>
      <font>
        <color theme="4"/>
      </font>
    </dxf>
    <dxf>
      <font>
        <b/>
        <i val="0"/>
        <color theme="3" tint="0.39991454817346722"/>
      </font>
    </dxf>
  </dxfs>
  <tableStyles count="2" defaultTableStyle="TableStyleMedium2" defaultPivotStyle="PivotStyleLight16">
    <tableStyle name="BudgetTable" pivot="0" count="2" xr9:uid="{00000000-0011-0000-FFFF-FFFF00000000}">
      <tableStyleElement type="wholeTable" dxfId="22"/>
      <tableStyleElement type="headerRow" dxfId="21"/>
    </tableStyle>
    <tableStyle name="Personal budget table" pivot="0" count="3" xr9:uid="{CDC6D3FC-8C8C-BB48-B693-CCBEF09A2885}">
      <tableStyleElement type="wholeTable" dxfId="20"/>
      <tableStyleElement type="headerRow" dxfId="19"/>
      <tableStyleElement type="totalRow" dxfId="18"/>
    </tableStyle>
  </tableStyles>
  <colors>
    <mruColors>
      <color rgb="FFEEDD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58-6845-9ED5-1707A84A03F7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258-6845-9ED5-1707A84A03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Jan!$A$17:$A$19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Jan!$B$17:$B$19</c:f>
              <c:numCache>
                <c:formatCode>"$"#,##0.00</c:formatCode>
                <c:ptCount val="3"/>
                <c:pt idx="0">
                  <c:v>15010</c:v>
                </c:pt>
                <c:pt idx="1">
                  <c:v>5215</c:v>
                </c:pt>
                <c:pt idx="2">
                  <c:v>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8-6845-9ED5-1707A84A0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AC-064E-B8CA-B4C3AD73EF5C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AC-064E-B8CA-B4C3AD73EF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Feb!$A$26:$A$28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Feb!$B$26:$B$28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AC-064E-B8CA-B4C3AD73EF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FE-4D41-9CDA-E9BD38A4271E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FE-4D41-9CDA-E9BD38A427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Mar!$B$26:$B$28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FE-4D41-9CDA-E9BD38A427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FA-0C41-8BC9-8DDFF760BCB7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FA-0C41-8BC9-8DDFF760BC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April!$A$26:$A$28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April!$B$26:$B$28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FA-0C41-8BC9-8DDFF760BC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33-054C-AA87-CE6400747120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33-054C-AA87-CE64007471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May!$A$26:$A$28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May!$B$26:$B$28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054C-AA87-CE64007471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4B-4844-B76E-9D8B281293E5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4B-4844-B76E-9D8B281293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Jun!$A$26:$A$28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Jun!$B$26:$B$28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4B-4844-B76E-9D8B281293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B8-524A-85E9-A3725368B76B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B8-524A-85E9-A3725368B7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Jul!$A$26:$A$28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Jul!$B$26:$B$28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B8-524A-85E9-A3725368B7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41-3A41-B478-3095AFD09014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41-3A41-B478-3095AFD090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Aug!$A$26:$A$28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Aug!$B$26:$B$28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41-3A41-B478-3095AFD090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4C-EC41-87F0-2BB2F8CFBFC1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4C-EC41-87F0-2BB2F8CFBF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Sep!$A$26:$A$28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Sep!$B$26:$B$28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4C-EC41-87F0-2BB2F8CFBF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E9-2346-81E3-6E7F2DFAE18B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E9-2346-81E3-6E7F2DFAE1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Oct!$A$26:$A$28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Oct!$B$26:$B$28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E9-2346-81E3-6E7F2DFAE1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37-AB46-8A10-2485ED56430A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37-AB46-8A10-2485ED5643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Nov!$A$26:$A$28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Nov!$B$26:$B$28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37-AB46-8A10-2485ED5643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57-2847-BEEE-DB3A83A1A3F0}"/>
              </c:ext>
            </c:extLst>
          </c:dPt>
          <c:dPt>
            <c:idx val="2"/>
            <c:invertIfNegative val="0"/>
            <c:bubble3D val="0"/>
            <c:spPr>
              <a:solidFill>
                <a:srgbClr val="EEDD2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57-2847-BEEE-DB3A83A1A3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Dec!$A$26:$A$28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Dec!$B$26:$B$28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57-2847-BEEE-DB3A83A1A3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0799184"/>
        <c:axId val="920791072"/>
      </c:barChart>
      <c:catAx>
        <c:axId val="9207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1072"/>
        <c:crosses val="autoZero"/>
        <c:auto val="1"/>
        <c:lblAlgn val="ctr"/>
        <c:lblOffset val="100"/>
        <c:noMultiLvlLbl val="0"/>
      </c:catAx>
      <c:valAx>
        <c:axId val="9207910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9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83127</xdr:rowOff>
    </xdr:from>
    <xdr:to>
      <xdr:col>9</xdr:col>
      <xdr:colOff>311727</xdr:colOff>
      <xdr:row>37</xdr:row>
      <xdr:rowOff>92364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3E936D-CC45-045E-D529-E10C0A868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A0835-5482-374B-97A2-13C39F09F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2D7D2-8B49-4347-9096-4C58193DC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369F0-E57E-924B-8C08-47A736A31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341E8-484D-034B-8F79-1EB3350B1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E2EB5-DFBE-E14A-BACB-3C51FC4EF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5DE5A3-924D-4B46-81AD-C912DA0A6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3B9F4-DE1D-9F45-A787-828CD36B8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B5A87-6180-464E-9E54-AFBD18304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CF360-D0F8-BA49-A717-E261EAED3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EDE83A-816C-324A-B958-846CC83AA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83127</xdr:rowOff>
    </xdr:from>
    <xdr:to>
      <xdr:col>9</xdr:col>
      <xdr:colOff>311727</xdr:colOff>
      <xdr:row>46</xdr:row>
      <xdr:rowOff>92364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C16644-3D29-2C46-A29C-EBF93A030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ersonal Budget">
      <a:dk1>
        <a:sysClr val="windowText" lastClr="000000"/>
      </a:dk1>
      <a:lt1>
        <a:sysClr val="window" lastClr="FFFFFF"/>
      </a:lt1>
      <a:dk2>
        <a:srgbClr val="282C27"/>
      </a:dk2>
      <a:lt2>
        <a:srgbClr val="EBEDE6"/>
      </a:lt2>
      <a:accent1>
        <a:srgbClr val="91BD30"/>
      </a:accent1>
      <a:accent2>
        <a:srgbClr val="EB6982"/>
      </a:accent2>
      <a:accent3>
        <a:srgbClr val="40B0C2"/>
      </a:accent3>
      <a:accent4>
        <a:srgbClr val="E6C73D"/>
      </a:accent4>
      <a:accent5>
        <a:srgbClr val="A68C75"/>
      </a:accent5>
      <a:accent6>
        <a:srgbClr val="A64F8F"/>
      </a:accent6>
      <a:hlink>
        <a:srgbClr val="40B0C2"/>
      </a:hlink>
      <a:folHlink>
        <a:srgbClr val="A64F8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EECB-70CA-774A-A5D8-3A681BF2CE6C}">
  <sheetPr>
    <tabColor theme="6" tint="-0.249977111117893"/>
  </sheetPr>
  <dimension ref="A1:S19"/>
  <sheetViews>
    <sheetView tabSelected="1" zoomScale="85" workbookViewId="0">
      <selection activeCell="T26" sqref="T26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5" max="15" width="14.42578125" bestFit="1" customWidth="1"/>
    <col min="18" max="18" width="21.5703125" bestFit="1" customWidth="1"/>
  </cols>
  <sheetData>
    <row r="1" spans="1:19" ht="37">
      <c r="A1" s="58" t="s">
        <v>35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9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9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9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9" ht="17" thickBot="1">
      <c r="A5" s="41">
        <v>45660</v>
      </c>
      <c r="B5" s="36" t="s">
        <v>48</v>
      </c>
      <c r="C5" s="37">
        <v>5000</v>
      </c>
      <c r="D5" s="42">
        <v>45658</v>
      </c>
      <c r="E5" s="43" t="s">
        <v>49</v>
      </c>
      <c r="F5" s="44">
        <v>100</v>
      </c>
      <c r="G5" s="35">
        <v>45667</v>
      </c>
      <c r="H5" s="36" t="s">
        <v>51</v>
      </c>
      <c r="I5" s="37">
        <v>80</v>
      </c>
      <c r="J5" s="75"/>
      <c r="K5" s="35">
        <v>45658</v>
      </c>
      <c r="L5" s="36" t="s">
        <v>52</v>
      </c>
      <c r="M5" s="37">
        <v>15000</v>
      </c>
      <c r="N5" s="35">
        <v>45661</v>
      </c>
      <c r="O5" s="38" t="s">
        <v>53</v>
      </c>
      <c r="P5" s="39">
        <v>10</v>
      </c>
    </row>
    <row r="6" spans="1:19" ht="17" thickBot="1">
      <c r="A6" s="29"/>
      <c r="B6" s="30"/>
      <c r="C6" s="45"/>
      <c r="D6" s="32">
        <v>45669</v>
      </c>
      <c r="E6" s="33" t="s">
        <v>50</v>
      </c>
      <c r="F6" s="46">
        <v>35</v>
      </c>
      <c r="G6" s="34"/>
      <c r="H6" s="30"/>
      <c r="I6" s="45"/>
      <c r="J6" s="75"/>
      <c r="K6" s="34"/>
      <c r="L6" s="40"/>
      <c r="M6" s="47"/>
      <c r="N6" s="34"/>
      <c r="O6" s="40"/>
      <c r="P6" s="48"/>
    </row>
    <row r="7" spans="1:19" ht="17" thickBot="1">
      <c r="A7" s="29"/>
      <c r="B7" s="30"/>
      <c r="C7" s="45"/>
      <c r="D7" s="34"/>
      <c r="E7" s="30"/>
      <c r="F7" s="45"/>
      <c r="G7" s="34"/>
      <c r="H7" s="30"/>
      <c r="I7" s="45"/>
      <c r="J7" s="75"/>
      <c r="K7" s="34"/>
      <c r="L7" s="40"/>
      <c r="M7" s="47"/>
      <c r="N7" s="34"/>
      <c r="O7" s="40"/>
      <c r="P7" s="48"/>
    </row>
    <row r="8" spans="1:19" ht="17" thickBot="1">
      <c r="A8" s="29"/>
      <c r="B8" s="30"/>
      <c r="C8" s="45"/>
      <c r="D8" s="34"/>
      <c r="E8" s="30"/>
      <c r="F8" s="45"/>
      <c r="G8" s="34"/>
      <c r="H8" s="30"/>
      <c r="I8" s="45"/>
      <c r="J8" s="75"/>
      <c r="K8" s="34"/>
      <c r="L8" s="40"/>
      <c r="M8" s="47"/>
      <c r="N8" s="34"/>
      <c r="O8" s="40"/>
      <c r="P8" s="48"/>
    </row>
    <row r="9" spans="1:19" ht="17" thickBot="1">
      <c r="A9" s="29"/>
      <c r="B9" s="30"/>
      <c r="C9" s="45"/>
      <c r="D9" s="34"/>
      <c r="E9" s="30"/>
      <c r="F9" s="45"/>
      <c r="G9" s="34"/>
      <c r="H9" s="30"/>
      <c r="I9" s="45"/>
      <c r="J9" s="75"/>
      <c r="K9" s="34"/>
      <c r="L9" s="40"/>
      <c r="M9" s="47"/>
      <c r="N9" s="34"/>
      <c r="O9" s="40"/>
      <c r="P9" s="48"/>
    </row>
    <row r="10" spans="1:19" ht="17" thickBot="1">
      <c r="A10" s="29"/>
      <c r="B10" s="30"/>
      <c r="C10" s="45"/>
      <c r="D10" s="34"/>
      <c r="E10" s="30"/>
      <c r="F10" s="45"/>
      <c r="G10" s="34"/>
      <c r="H10" s="30"/>
      <c r="I10" s="45"/>
      <c r="J10" s="75"/>
      <c r="K10" s="34"/>
      <c r="L10" s="40"/>
      <c r="M10" s="47"/>
      <c r="N10" s="34"/>
      <c r="O10" s="40"/>
      <c r="P10" s="48"/>
    </row>
    <row r="11" spans="1:19" ht="17" thickBot="1">
      <c r="A11" s="29"/>
      <c r="B11" s="30"/>
      <c r="C11" s="45"/>
      <c r="D11" s="34"/>
      <c r="E11" s="30"/>
      <c r="F11" s="45"/>
      <c r="G11" s="34"/>
      <c r="H11" s="30"/>
      <c r="I11" s="45"/>
      <c r="J11" s="75"/>
      <c r="K11" s="34"/>
      <c r="L11" s="40"/>
      <c r="M11" s="47"/>
      <c r="N11" s="34"/>
      <c r="O11" s="40"/>
      <c r="P11" s="48"/>
    </row>
    <row r="12" spans="1:19">
      <c r="A12" s="29"/>
      <c r="B12" s="30"/>
      <c r="C12" s="45"/>
      <c r="D12" s="34"/>
      <c r="E12" s="30"/>
      <c r="F12" s="45"/>
      <c r="G12" s="34"/>
      <c r="H12" s="30"/>
      <c r="I12" s="45"/>
      <c r="J12" s="75"/>
      <c r="K12" s="34"/>
      <c r="L12" s="40"/>
      <c r="M12" s="47"/>
      <c r="N12" s="34"/>
      <c r="O12" s="40"/>
      <c r="P12" s="48"/>
    </row>
    <row r="13" spans="1:19">
      <c r="A13" s="67" t="s">
        <v>12</v>
      </c>
      <c r="B13" s="68"/>
      <c r="C13" s="28">
        <f>SUM(C5:C12)</f>
        <v>5000</v>
      </c>
      <c r="D13" s="67" t="s">
        <v>12</v>
      </c>
      <c r="E13" s="68"/>
      <c r="F13" s="28">
        <f>SUM(F5:F12)</f>
        <v>135</v>
      </c>
      <c r="G13" s="67" t="s">
        <v>12</v>
      </c>
      <c r="H13" s="68"/>
      <c r="I13" s="26">
        <f>SUBTOTAL(109,Jan!$I$5:$I$12)</f>
        <v>80</v>
      </c>
      <c r="J13" s="6"/>
      <c r="K13" s="67" t="s">
        <v>12</v>
      </c>
      <c r="L13" s="68"/>
      <c r="M13" s="26">
        <f>SUM(M5:M12)</f>
        <v>15000</v>
      </c>
      <c r="N13" s="67" t="s">
        <v>12</v>
      </c>
      <c r="O13" s="68"/>
      <c r="P13" s="27">
        <f>SUM(P5:P12)</f>
        <v>10</v>
      </c>
      <c r="S13" s="8"/>
    </row>
    <row r="15" spans="1:19" ht="21" thickBot="1">
      <c r="A15" s="10" t="s">
        <v>13</v>
      </c>
      <c r="B15" s="9">
        <f>0</f>
        <v>0</v>
      </c>
      <c r="O15" s="10" t="s">
        <v>14</v>
      </c>
      <c r="P15" s="9">
        <f>B15+(M13+P13)-(C13+F13+I13)</f>
        <v>9795</v>
      </c>
    </row>
    <row r="16" spans="1:19" ht="17" thickTop="1">
      <c r="F16" s="8"/>
      <c r="M16" s="8"/>
    </row>
    <row r="17" spans="1:2">
      <c r="A17" t="s">
        <v>34</v>
      </c>
      <c r="B17" s="8">
        <f>M13+P13</f>
        <v>15010</v>
      </c>
    </row>
    <row r="18" spans="1:2">
      <c r="A18" t="s">
        <v>31</v>
      </c>
      <c r="B18" s="8">
        <f>C13+F13+I13</f>
        <v>5215</v>
      </c>
    </row>
    <row r="19" spans="1:2">
      <c r="A19" t="s">
        <v>32</v>
      </c>
      <c r="B19" s="25">
        <f>B17-B18</f>
        <v>9795</v>
      </c>
    </row>
  </sheetData>
  <mergeCells count="13">
    <mergeCell ref="A13:B13"/>
    <mergeCell ref="D13:E13"/>
    <mergeCell ref="G13:H13"/>
    <mergeCell ref="K13:L13"/>
    <mergeCell ref="N13:O13"/>
    <mergeCell ref="A1:P1"/>
    <mergeCell ref="A2:I2"/>
    <mergeCell ref="K2:P2"/>
    <mergeCell ref="A3:C3"/>
    <mergeCell ref="D3:F3"/>
    <mergeCell ref="G3:I3"/>
    <mergeCell ref="K3:M3"/>
    <mergeCell ref="N3:P3"/>
  </mergeCells>
  <conditionalFormatting sqref="A5:I12 K5:P12">
    <cfRule type="expression" dxfId="17" priority="1">
      <formula>ISEVEN(ROW())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73F2-31D9-5240-9BEE-F20E40CC49C6}">
  <sheetPr>
    <tabColor theme="5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36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37"/>
      <c r="G5" s="35"/>
      <c r="H5" s="36"/>
      <c r="I5" s="37"/>
      <c r="K5" s="35"/>
      <c r="L5" s="36"/>
      <c r="M5" s="37"/>
      <c r="N5" s="35"/>
      <c r="O5" s="38"/>
      <c r="P5" s="37"/>
    </row>
    <row r="6" spans="1:17" ht="17" thickBot="1">
      <c r="A6" s="29"/>
      <c r="B6" s="30"/>
      <c r="C6" s="45"/>
      <c r="D6" s="32"/>
      <c r="E6" s="33"/>
      <c r="F6" s="45"/>
      <c r="G6" s="34"/>
      <c r="H6" s="30"/>
      <c r="I6" s="45"/>
      <c r="K6" s="34"/>
      <c r="L6" s="40"/>
      <c r="M6" s="45"/>
      <c r="N6" s="34"/>
      <c r="O6" s="40"/>
      <c r="P6" s="45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SUBTOTAL(109,Feb!$I$5:$I$21)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 K5:P21">
    <cfRule type="expression" dxfId="16" priority="1">
      <formula>ISEVEN(ROW())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BE8F-B042-5F4B-AB52-E046FC0AD18F}">
  <sheetPr>
    <tabColor theme="8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37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37"/>
      <c r="G5" s="35"/>
      <c r="H5" s="36"/>
      <c r="I5" s="37"/>
      <c r="K5" s="35"/>
      <c r="L5" s="36"/>
      <c r="M5" s="37"/>
      <c r="N5" s="35"/>
      <c r="O5" s="38"/>
      <c r="P5" s="39"/>
    </row>
    <row r="6" spans="1:17" ht="17" thickBot="1">
      <c r="A6" s="29"/>
      <c r="B6" s="30"/>
      <c r="C6" s="45"/>
      <c r="D6" s="32"/>
      <c r="E6" s="33"/>
      <c r="F6" s="45"/>
      <c r="G6" s="34"/>
      <c r="H6" s="30"/>
      <c r="I6" s="45"/>
      <c r="K6" s="34"/>
      <c r="L6" s="40"/>
      <c r="M6" s="45"/>
      <c r="N6" s="34"/>
      <c r="O6" s="40"/>
      <c r="P6" s="48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8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8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8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8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8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8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8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8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8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8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8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8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8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8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8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SUBTOTAL(109,Mar!$I$5:$I$21)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 K5:P21">
    <cfRule type="expression" dxfId="15" priority="1">
      <formula>ISEVEN(ROW())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A967-663B-784C-B73E-D3F2B7218037}">
  <sheetPr>
    <tabColor rgb="FF00B050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38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44"/>
      <c r="G5" s="35"/>
      <c r="H5" s="36"/>
      <c r="I5" s="44"/>
      <c r="K5" s="35"/>
      <c r="L5" s="36"/>
      <c r="M5" s="44"/>
      <c r="N5" s="35"/>
      <c r="O5" s="38"/>
      <c r="P5" s="44"/>
    </row>
    <row r="6" spans="1:17" ht="17" thickBot="1">
      <c r="A6" s="29"/>
      <c r="B6" s="30"/>
      <c r="C6" s="45"/>
      <c r="D6" s="32"/>
      <c r="E6" s="33"/>
      <c r="F6" s="46"/>
      <c r="G6" s="34"/>
      <c r="H6" s="30"/>
      <c r="I6" s="46"/>
      <c r="K6" s="34"/>
      <c r="L6" s="40"/>
      <c r="M6" s="46"/>
      <c r="N6" s="34"/>
      <c r="O6" s="40"/>
      <c r="P6" s="46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SUBTOTAL(109,April!$I$5:$I$21)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 K5:P21">
    <cfRule type="expression" dxfId="14" priority="1">
      <formula>ISEVEN(ROW())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D99E-A41F-EF45-84B2-51D86A518CC6}">
  <sheetPr>
    <tabColor rgb="FFEEDD2F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39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37"/>
      <c r="G5" s="35"/>
      <c r="H5" s="36"/>
      <c r="I5" s="37"/>
      <c r="K5" s="35"/>
      <c r="L5" s="36"/>
      <c r="M5" s="37"/>
      <c r="N5" s="35"/>
      <c r="O5" s="38"/>
      <c r="P5" s="37"/>
    </row>
    <row r="6" spans="1:17" ht="17" thickBot="1">
      <c r="A6" s="29"/>
      <c r="B6" s="30"/>
      <c r="C6" s="45"/>
      <c r="D6" s="32"/>
      <c r="E6" s="33"/>
      <c r="F6" s="45"/>
      <c r="G6" s="34"/>
      <c r="H6" s="30"/>
      <c r="I6" s="45"/>
      <c r="K6" s="34"/>
      <c r="L6" s="40"/>
      <c r="M6" s="45"/>
      <c r="N6" s="34"/>
      <c r="O6" s="40"/>
      <c r="P6" s="45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SUBTOTAL(109,May!$I$5:$I$21)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 K5:P21">
    <cfRule type="expression" dxfId="13" priority="1">
      <formula>ISEVEN(ROW())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3112-6398-1545-BCF9-7B264C95922A}">
  <sheetPr>
    <tabColor rgb="FF0070C0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40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37"/>
      <c r="G5" s="35"/>
      <c r="H5" s="36"/>
      <c r="I5" s="37"/>
      <c r="K5" s="35"/>
      <c r="L5" s="36"/>
      <c r="M5" s="37"/>
      <c r="N5" s="35"/>
      <c r="O5" s="38"/>
      <c r="P5" s="37"/>
    </row>
    <row r="6" spans="1:17" ht="17" thickBot="1">
      <c r="A6" s="29"/>
      <c r="B6" s="30"/>
      <c r="C6" s="31"/>
      <c r="D6" s="32"/>
      <c r="E6" s="33"/>
      <c r="F6" s="31"/>
      <c r="G6" s="34"/>
      <c r="H6" s="30"/>
      <c r="I6" s="45"/>
      <c r="K6" s="34"/>
      <c r="L6" s="40"/>
      <c r="M6" s="45"/>
      <c r="N6" s="34"/>
      <c r="O6" s="40"/>
      <c r="P6" s="45"/>
    </row>
    <row r="7" spans="1:17" ht="17" thickBot="1">
      <c r="A7" s="29"/>
      <c r="B7" s="30"/>
      <c r="C7" s="31"/>
      <c r="D7" s="34"/>
      <c r="E7" s="30"/>
      <c r="F7" s="31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31"/>
      <c r="D8" s="34"/>
      <c r="E8" s="30"/>
      <c r="F8" s="31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31"/>
      <c r="D9" s="34"/>
      <c r="E9" s="30"/>
      <c r="F9" s="31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31"/>
      <c r="D10" s="34"/>
      <c r="E10" s="30"/>
      <c r="F10" s="31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31"/>
      <c r="D11" s="34"/>
      <c r="E11" s="30"/>
      <c r="F11" s="31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31"/>
      <c r="D12" s="34"/>
      <c r="E12" s="30"/>
      <c r="F12" s="31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31"/>
      <c r="D13" s="34"/>
      <c r="E13" s="30"/>
      <c r="F13" s="31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31"/>
      <c r="D14" s="34"/>
      <c r="E14" s="30"/>
      <c r="F14" s="31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31"/>
      <c r="D15" s="34"/>
      <c r="E15" s="30"/>
      <c r="F15" s="31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31"/>
      <c r="D16" s="34"/>
      <c r="E16" s="30"/>
      <c r="F16" s="31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31"/>
      <c r="D17" s="34"/>
      <c r="E17" s="30"/>
      <c r="F17" s="31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31"/>
      <c r="D18" s="34"/>
      <c r="E18" s="30"/>
      <c r="F18" s="31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31"/>
      <c r="D19" s="34"/>
      <c r="E19" s="30"/>
      <c r="F19" s="31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31"/>
      <c r="D20" s="34"/>
      <c r="E20" s="30"/>
      <c r="F20" s="31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31"/>
      <c r="D21" s="34"/>
      <c r="E21" s="30"/>
      <c r="F21" s="31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SUBTOTAL(109,Jun!$I$5:$I$21)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 K5:P21">
    <cfRule type="expression" dxfId="12" priority="1">
      <formula>ISEVEN(ROW())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F7F4-D9D7-E942-A482-4905F9DFBEAF}">
  <sheetPr>
    <tabColor rgb="FF00B0F0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41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37"/>
      <c r="G5" s="35"/>
      <c r="H5" s="36"/>
      <c r="I5" s="37"/>
      <c r="K5" s="35"/>
      <c r="L5" s="36"/>
      <c r="M5" s="37"/>
      <c r="N5" s="35"/>
      <c r="O5" s="38"/>
      <c r="P5" s="37"/>
    </row>
    <row r="6" spans="1:17" ht="17" thickBot="1">
      <c r="A6" s="29"/>
      <c r="B6" s="30"/>
      <c r="C6" s="45"/>
      <c r="D6" s="32"/>
      <c r="E6" s="33"/>
      <c r="F6" s="45"/>
      <c r="G6" s="34"/>
      <c r="H6" s="30"/>
      <c r="I6" s="45"/>
      <c r="K6" s="34"/>
      <c r="L6" s="40"/>
      <c r="M6" s="45"/>
      <c r="N6" s="34"/>
      <c r="O6" s="40"/>
      <c r="P6" s="45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SUBTOTAL(109,Jul!$I$5:$I$21)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 K5:P21">
    <cfRule type="expression" dxfId="11" priority="1">
      <formula>ISEVEN(ROW())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4C08-8EB4-474C-AA1B-E6A0DFB96A56}">
  <sheetPr>
    <tabColor rgb="FFFFFF00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42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37"/>
      <c r="G5" s="35"/>
      <c r="H5" s="36"/>
      <c r="I5" s="37"/>
      <c r="K5" s="35"/>
      <c r="L5" s="36"/>
      <c r="M5" s="37"/>
      <c r="N5" s="35"/>
      <c r="O5" s="38"/>
      <c r="P5" s="37"/>
    </row>
    <row r="6" spans="1:17" ht="17" thickBot="1">
      <c r="A6" s="29"/>
      <c r="B6" s="30"/>
      <c r="C6" s="45"/>
      <c r="D6" s="32"/>
      <c r="E6" s="33"/>
      <c r="F6" s="45"/>
      <c r="G6" s="34"/>
      <c r="H6" s="30"/>
      <c r="I6" s="45"/>
      <c r="K6" s="34"/>
      <c r="L6" s="40"/>
      <c r="M6" s="45"/>
      <c r="N6" s="34"/>
      <c r="O6" s="40"/>
      <c r="P6" s="45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SUBTOTAL(109,Aug!$I$5:$I$21)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 K5:P21">
    <cfRule type="expression" dxfId="10" priority="1">
      <formula>ISEVEN(ROW())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C083-9689-1C4B-9F9A-E58C34829129}">
  <sheetPr>
    <tabColor theme="5" tint="-0.249977111117893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43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37"/>
      <c r="G5" s="35"/>
      <c r="H5" s="36"/>
      <c r="I5" s="37"/>
      <c r="K5" s="35"/>
      <c r="L5" s="36"/>
      <c r="M5" s="37"/>
      <c r="N5" s="35"/>
      <c r="O5" s="38"/>
      <c r="P5" s="37"/>
    </row>
    <row r="6" spans="1:17" ht="17" thickBot="1">
      <c r="A6" s="29"/>
      <c r="B6" s="30"/>
      <c r="C6" s="45"/>
      <c r="D6" s="32"/>
      <c r="E6" s="33"/>
      <c r="F6" s="45"/>
      <c r="G6" s="34"/>
      <c r="H6" s="30"/>
      <c r="I6" s="45"/>
      <c r="K6" s="34"/>
      <c r="L6" s="40"/>
      <c r="M6" s="45"/>
      <c r="N6" s="34"/>
      <c r="O6" s="40"/>
      <c r="P6" s="45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SUBTOTAL(109,Sep!$I$5:$I$21)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">
    <cfRule type="expression" dxfId="9" priority="3">
      <formula>ISEVEN(ROW())</formula>
    </cfRule>
  </conditionalFormatting>
  <conditionalFormatting sqref="K5:P21">
    <cfRule type="expression" dxfId="8" priority="1">
      <formula>ISEVEN(ROW())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7E92-7F7A-8040-B7BB-982CB635BAB6}">
  <sheetPr>
    <tabColor rgb="FFFFC000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37"/>
      <c r="G5" s="35"/>
      <c r="H5" s="36"/>
      <c r="I5" s="37"/>
      <c r="K5" s="35"/>
      <c r="L5" s="36"/>
      <c r="M5" s="37"/>
      <c r="N5" s="35"/>
      <c r="O5" s="38"/>
      <c r="P5" s="37"/>
    </row>
    <row r="6" spans="1:17" ht="17" thickBot="1">
      <c r="A6" s="29"/>
      <c r="B6" s="30"/>
      <c r="C6" s="45"/>
      <c r="D6" s="32"/>
      <c r="E6" s="33"/>
      <c r="F6" s="45"/>
      <c r="G6" s="34"/>
      <c r="H6" s="30"/>
      <c r="I6" s="45"/>
      <c r="K6" s="34"/>
      <c r="L6" s="40"/>
      <c r="M6" s="45"/>
      <c r="N6" s="34"/>
      <c r="O6" s="40"/>
      <c r="P6" s="45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SUBTOTAL(109,Oct!$I$5:$I$21)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">
    <cfRule type="expression" dxfId="7" priority="3">
      <formula>ISEVEN(ROW())</formula>
    </cfRule>
  </conditionalFormatting>
  <conditionalFormatting sqref="K5:P21">
    <cfRule type="expression" dxfId="6" priority="1">
      <formula>ISEVEN(ROW())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08EF-BF41-744A-B8B0-B0171F98AF1F}">
  <sheetPr>
    <tabColor theme="8" tint="-0.499984740745262"/>
  </sheetPr>
  <dimension ref="A1:S28"/>
  <sheetViews>
    <sheetView zoomScale="110" workbookViewId="0">
      <selection activeCell="A2" sqref="A2:I2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45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50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51"/>
      <c r="D5" s="49"/>
      <c r="E5" s="43"/>
      <c r="F5" s="51"/>
      <c r="G5" s="35"/>
      <c r="H5" s="36"/>
      <c r="I5" s="51"/>
      <c r="K5" s="35"/>
      <c r="L5" s="36"/>
      <c r="M5" s="51"/>
      <c r="N5" s="35"/>
      <c r="O5" s="38"/>
      <c r="P5" s="51"/>
    </row>
    <row r="6" spans="1:17" ht="17" thickBot="1">
      <c r="A6" s="29"/>
      <c r="B6" s="30"/>
      <c r="C6" s="37"/>
      <c r="D6" s="32"/>
      <c r="E6" s="33"/>
      <c r="F6" s="37"/>
      <c r="G6" s="34"/>
      <c r="H6" s="30"/>
      <c r="I6" s="37"/>
      <c r="K6" s="34"/>
      <c r="L6" s="40"/>
      <c r="M6" s="37"/>
      <c r="N6" s="34"/>
      <c r="O6" s="40"/>
      <c r="P6" s="37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SUBTOTAL(109,Nov!$I$5:$I$21)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">
    <cfRule type="expression" dxfId="5" priority="3">
      <formula>ISEVEN(ROW())</formula>
    </cfRule>
  </conditionalFormatting>
  <conditionalFormatting sqref="K5:P21">
    <cfRule type="expression" dxfId="4" priority="1">
      <formula>ISEVEN(ROW())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563B-1C9E-4748-93E2-91238DB4F523}">
  <sheetPr>
    <tabColor theme="4"/>
  </sheetPr>
  <dimension ref="A1:S28"/>
  <sheetViews>
    <sheetView zoomScale="110" workbookViewId="0">
      <selection activeCell="L27" sqref="L27"/>
    </sheetView>
  </sheetViews>
  <sheetFormatPr baseColWidth="10" defaultRowHeight="16"/>
  <cols>
    <col min="5" max="5" width="12.85546875" bestFit="1" customWidth="1"/>
    <col min="8" max="8" width="11" bestFit="1" customWidth="1"/>
    <col min="10" max="10" width="5.7109375" customWidth="1"/>
    <col min="12" max="12" width="20" bestFit="1" customWidth="1"/>
    <col min="13" max="13" width="11" bestFit="1" customWidth="1"/>
    <col min="18" max="18" width="21.5703125" bestFit="1" customWidth="1"/>
  </cols>
  <sheetData>
    <row r="1" spans="1:17" ht="37">
      <c r="A1" s="58" t="s">
        <v>46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</row>
    <row r="2" spans="1:17" ht="25">
      <c r="A2" s="61" t="s">
        <v>4</v>
      </c>
      <c r="B2" s="62"/>
      <c r="C2" s="62"/>
      <c r="D2" s="62"/>
      <c r="E2" s="62"/>
      <c r="F2" s="62"/>
      <c r="G2" s="62"/>
      <c r="H2" s="62"/>
      <c r="I2" s="62"/>
      <c r="J2" s="7"/>
      <c r="K2" s="63" t="s">
        <v>10</v>
      </c>
      <c r="L2" s="63"/>
      <c r="M2" s="63"/>
      <c r="N2" s="63"/>
      <c r="O2" s="63"/>
      <c r="P2" s="63"/>
    </row>
    <row r="3" spans="1:17" ht="23">
      <c r="A3" s="64" t="s">
        <v>5</v>
      </c>
      <c r="B3" s="65"/>
      <c r="C3" s="65"/>
      <c r="D3" s="65" t="s">
        <v>6</v>
      </c>
      <c r="E3" s="65"/>
      <c r="F3" s="65"/>
      <c r="G3" s="65" t="s">
        <v>7</v>
      </c>
      <c r="H3" s="65"/>
      <c r="I3" s="65"/>
      <c r="J3" s="7"/>
      <c r="K3" s="65" t="s">
        <v>11</v>
      </c>
      <c r="L3" s="65"/>
      <c r="M3" s="65"/>
      <c r="N3" s="65" t="s">
        <v>0</v>
      </c>
      <c r="O3" s="65"/>
      <c r="P3" s="66"/>
    </row>
    <row r="4" spans="1:17">
      <c r="A4" s="4" t="s">
        <v>2</v>
      </c>
      <c r="B4" s="3" t="s">
        <v>9</v>
      </c>
      <c r="C4" s="3" t="s">
        <v>8</v>
      </c>
      <c r="D4" s="3" t="s">
        <v>2</v>
      </c>
      <c r="E4" s="3" t="s">
        <v>9</v>
      </c>
      <c r="F4" s="3" t="s">
        <v>8</v>
      </c>
      <c r="G4" s="3" t="s">
        <v>2</v>
      </c>
      <c r="H4" s="3" t="s">
        <v>9</v>
      </c>
      <c r="I4" s="3" t="s">
        <v>8</v>
      </c>
      <c r="K4" s="3" t="s">
        <v>2</v>
      </c>
      <c r="L4" s="3" t="s">
        <v>9</v>
      </c>
      <c r="M4" s="3" t="s">
        <v>1</v>
      </c>
      <c r="N4" s="3" t="s">
        <v>2</v>
      </c>
      <c r="O4" s="3" t="s">
        <v>9</v>
      </c>
      <c r="P4" s="5" t="s">
        <v>1</v>
      </c>
      <c r="Q4" s="2"/>
    </row>
    <row r="5" spans="1:17" ht="17" thickBot="1">
      <c r="A5" s="41"/>
      <c r="B5" s="36"/>
      <c r="C5" s="37"/>
      <c r="D5" s="42"/>
      <c r="E5" s="43"/>
      <c r="F5" s="37"/>
      <c r="G5" s="35"/>
      <c r="H5" s="36"/>
      <c r="I5" s="37"/>
      <c r="K5" s="35"/>
      <c r="L5" s="36"/>
      <c r="M5" s="37"/>
      <c r="N5" s="35"/>
      <c r="O5" s="38"/>
      <c r="P5" s="37"/>
    </row>
    <row r="6" spans="1:17" ht="17" thickBot="1">
      <c r="A6" s="29"/>
      <c r="B6" s="30"/>
      <c r="C6" s="45"/>
      <c r="D6" s="32"/>
      <c r="E6" s="33"/>
      <c r="F6" s="45"/>
      <c r="G6" s="34"/>
      <c r="H6" s="30"/>
      <c r="I6" s="45"/>
      <c r="K6" s="34"/>
      <c r="L6" s="40"/>
      <c r="M6" s="45"/>
      <c r="N6" s="34"/>
      <c r="O6" s="40"/>
      <c r="P6" s="45"/>
    </row>
    <row r="7" spans="1:17" ht="17" thickBot="1">
      <c r="A7" s="29"/>
      <c r="B7" s="30"/>
      <c r="C7" s="45"/>
      <c r="D7" s="34"/>
      <c r="E7" s="30"/>
      <c r="F7" s="45"/>
      <c r="G7" s="34"/>
      <c r="H7" s="30"/>
      <c r="I7" s="45"/>
      <c r="K7" s="34"/>
      <c r="L7" s="40"/>
      <c r="M7" s="45"/>
      <c r="N7" s="34"/>
      <c r="O7" s="40"/>
      <c r="P7" s="45"/>
    </row>
    <row r="8" spans="1:17" ht="17" thickBot="1">
      <c r="A8" s="29"/>
      <c r="B8" s="30"/>
      <c r="C8" s="45"/>
      <c r="D8" s="34"/>
      <c r="E8" s="30"/>
      <c r="F8" s="45"/>
      <c r="G8" s="34"/>
      <c r="H8" s="30"/>
      <c r="I8" s="45"/>
      <c r="K8" s="34"/>
      <c r="L8" s="40"/>
      <c r="M8" s="45"/>
      <c r="N8" s="34"/>
      <c r="O8" s="40"/>
      <c r="P8" s="45"/>
    </row>
    <row r="9" spans="1:17" ht="17" thickBot="1">
      <c r="A9" s="29"/>
      <c r="B9" s="30"/>
      <c r="C9" s="45"/>
      <c r="D9" s="34"/>
      <c r="E9" s="30"/>
      <c r="F9" s="45"/>
      <c r="G9" s="34"/>
      <c r="H9" s="30"/>
      <c r="I9" s="45"/>
      <c r="K9" s="34"/>
      <c r="L9" s="40"/>
      <c r="M9" s="45"/>
      <c r="N9" s="34"/>
      <c r="O9" s="40"/>
      <c r="P9" s="45"/>
    </row>
    <row r="10" spans="1:17" ht="18" customHeight="1" thickBot="1">
      <c r="A10" s="29"/>
      <c r="B10" s="30"/>
      <c r="C10" s="45"/>
      <c r="D10" s="34"/>
      <c r="E10" s="30"/>
      <c r="F10" s="45"/>
      <c r="G10" s="34"/>
      <c r="H10" s="30"/>
      <c r="I10" s="45"/>
      <c r="K10" s="34"/>
      <c r="L10" s="40"/>
      <c r="M10" s="45"/>
      <c r="N10" s="34"/>
      <c r="O10" s="40"/>
      <c r="P10" s="45"/>
    </row>
    <row r="11" spans="1:17" ht="18" customHeight="1" thickBot="1">
      <c r="A11" s="29"/>
      <c r="B11" s="30"/>
      <c r="C11" s="45"/>
      <c r="D11" s="34"/>
      <c r="E11" s="30"/>
      <c r="F11" s="45"/>
      <c r="G11" s="34"/>
      <c r="H11" s="30"/>
      <c r="I11" s="45"/>
      <c r="K11" s="34"/>
      <c r="L11" s="40"/>
      <c r="M11" s="45"/>
      <c r="N11" s="34"/>
      <c r="O11" s="40"/>
      <c r="P11" s="45"/>
    </row>
    <row r="12" spans="1:17" ht="18" customHeight="1" thickBot="1">
      <c r="A12" s="29"/>
      <c r="B12" s="30"/>
      <c r="C12" s="45"/>
      <c r="D12" s="34"/>
      <c r="E12" s="30"/>
      <c r="F12" s="45"/>
      <c r="G12" s="34"/>
      <c r="H12" s="30"/>
      <c r="I12" s="45"/>
      <c r="K12" s="34"/>
      <c r="L12" s="40"/>
      <c r="M12" s="45"/>
      <c r="N12" s="34"/>
      <c r="O12" s="40"/>
      <c r="P12" s="45"/>
    </row>
    <row r="13" spans="1:17" ht="18" customHeight="1" thickBot="1">
      <c r="A13" s="29"/>
      <c r="B13" s="30"/>
      <c r="C13" s="45"/>
      <c r="D13" s="34"/>
      <c r="E13" s="30"/>
      <c r="F13" s="45"/>
      <c r="G13" s="34"/>
      <c r="H13" s="30"/>
      <c r="I13" s="45"/>
      <c r="K13" s="34"/>
      <c r="L13" s="40"/>
      <c r="M13" s="45"/>
      <c r="N13" s="34"/>
      <c r="O13" s="40"/>
      <c r="P13" s="45"/>
    </row>
    <row r="14" spans="1:17" ht="18" customHeight="1" thickBot="1">
      <c r="A14" s="29"/>
      <c r="B14" s="30"/>
      <c r="C14" s="45"/>
      <c r="D14" s="34"/>
      <c r="E14" s="30"/>
      <c r="F14" s="45"/>
      <c r="G14" s="34"/>
      <c r="H14" s="30"/>
      <c r="I14" s="45"/>
      <c r="K14" s="34"/>
      <c r="L14" s="40"/>
      <c r="M14" s="45"/>
      <c r="N14" s="34"/>
      <c r="O14" s="40"/>
      <c r="P14" s="45"/>
    </row>
    <row r="15" spans="1:17" ht="18" customHeight="1" thickBot="1">
      <c r="A15" s="29"/>
      <c r="B15" s="30"/>
      <c r="C15" s="45"/>
      <c r="D15" s="34"/>
      <c r="E15" s="30"/>
      <c r="F15" s="45"/>
      <c r="G15" s="34"/>
      <c r="H15" s="30"/>
      <c r="I15" s="45"/>
      <c r="K15" s="34"/>
      <c r="L15" s="40"/>
      <c r="M15" s="45"/>
      <c r="N15" s="34"/>
      <c r="O15" s="40"/>
      <c r="P15" s="45"/>
    </row>
    <row r="16" spans="1:17" ht="18" customHeight="1" thickBot="1">
      <c r="A16" s="29"/>
      <c r="B16" s="30"/>
      <c r="C16" s="45"/>
      <c r="D16" s="34"/>
      <c r="E16" s="30"/>
      <c r="F16" s="45"/>
      <c r="G16" s="34"/>
      <c r="H16" s="30"/>
      <c r="I16" s="45"/>
      <c r="K16" s="34"/>
      <c r="L16" s="40"/>
      <c r="M16" s="45"/>
      <c r="N16" s="34"/>
      <c r="O16" s="40"/>
      <c r="P16" s="45"/>
    </row>
    <row r="17" spans="1:19" ht="18" customHeight="1" thickBot="1">
      <c r="A17" s="29"/>
      <c r="B17" s="30"/>
      <c r="C17" s="45"/>
      <c r="D17" s="34"/>
      <c r="E17" s="30"/>
      <c r="F17" s="45"/>
      <c r="G17" s="34"/>
      <c r="H17" s="30"/>
      <c r="I17" s="45"/>
      <c r="K17" s="34"/>
      <c r="L17" s="40"/>
      <c r="M17" s="45"/>
      <c r="N17" s="34"/>
      <c r="O17" s="40"/>
      <c r="P17" s="45"/>
    </row>
    <row r="18" spans="1:19" ht="18" customHeight="1" thickBot="1">
      <c r="A18" s="29"/>
      <c r="B18" s="30"/>
      <c r="C18" s="45"/>
      <c r="D18" s="34"/>
      <c r="E18" s="30"/>
      <c r="F18" s="45"/>
      <c r="G18" s="34"/>
      <c r="H18" s="30"/>
      <c r="I18" s="45"/>
      <c r="K18" s="34"/>
      <c r="L18" s="40"/>
      <c r="M18" s="45"/>
      <c r="N18" s="34"/>
      <c r="O18" s="40"/>
      <c r="P18" s="45"/>
    </row>
    <row r="19" spans="1:19" ht="18" customHeight="1" thickBot="1">
      <c r="A19" s="29"/>
      <c r="B19" s="30"/>
      <c r="C19" s="45"/>
      <c r="D19" s="34"/>
      <c r="E19" s="30"/>
      <c r="F19" s="45"/>
      <c r="G19" s="34"/>
      <c r="H19" s="30"/>
      <c r="I19" s="45"/>
      <c r="K19" s="34"/>
      <c r="L19" s="40"/>
      <c r="M19" s="45"/>
      <c r="N19" s="34"/>
      <c r="O19" s="40"/>
      <c r="P19" s="45"/>
    </row>
    <row r="20" spans="1:19" ht="18" customHeight="1" thickBot="1">
      <c r="A20" s="29"/>
      <c r="B20" s="30"/>
      <c r="C20" s="45"/>
      <c r="D20" s="34"/>
      <c r="E20" s="30"/>
      <c r="F20" s="45"/>
      <c r="G20" s="34"/>
      <c r="H20" s="30"/>
      <c r="I20" s="45"/>
      <c r="K20" s="34"/>
      <c r="L20" s="40"/>
      <c r="M20" s="45"/>
      <c r="N20" s="34"/>
      <c r="O20" s="40"/>
      <c r="P20" s="45"/>
    </row>
    <row r="21" spans="1:19">
      <c r="A21" s="29"/>
      <c r="B21" s="30"/>
      <c r="C21" s="45"/>
      <c r="D21" s="34"/>
      <c r="E21" s="30"/>
      <c r="F21" s="45"/>
      <c r="G21" s="34"/>
      <c r="H21" s="30"/>
      <c r="I21" s="45"/>
      <c r="K21" s="34"/>
      <c r="L21" s="40"/>
      <c r="M21" s="45"/>
      <c r="N21" s="34"/>
      <c r="O21" s="40"/>
      <c r="P21" s="45"/>
    </row>
    <row r="22" spans="1:19">
      <c r="A22" s="67" t="s">
        <v>12</v>
      </c>
      <c r="B22" s="68"/>
      <c r="C22" s="28">
        <f>SUM(C5:C21)</f>
        <v>0</v>
      </c>
      <c r="D22" s="67" t="s">
        <v>12</v>
      </c>
      <c r="E22" s="68"/>
      <c r="F22" s="28">
        <f>SUM(F5:F21)</f>
        <v>0</v>
      </c>
      <c r="G22" s="67" t="s">
        <v>12</v>
      </c>
      <c r="H22" s="68"/>
      <c r="I22" s="26">
        <f>SUBTOTAL(109,Dec!$I$5:$I$21)</f>
        <v>0</v>
      </c>
      <c r="J22" s="6"/>
      <c r="K22" s="67" t="s">
        <v>12</v>
      </c>
      <c r="L22" s="68"/>
      <c r="M22" s="26">
        <f>SUM(M5:M21)</f>
        <v>0</v>
      </c>
      <c r="N22" s="67" t="s">
        <v>12</v>
      </c>
      <c r="O22" s="68"/>
      <c r="P22" s="27">
        <f>SUM(P5:P21)</f>
        <v>0</v>
      </c>
      <c r="S22" s="8"/>
    </row>
    <row r="24" spans="1:19" ht="21" thickBot="1">
      <c r="A24" s="10" t="s">
        <v>13</v>
      </c>
      <c r="B24" s="9">
        <f>0</f>
        <v>0</v>
      </c>
      <c r="O24" s="10" t="s">
        <v>14</v>
      </c>
      <c r="P24" s="9">
        <f>B24+(M22+P22)-(C22+F22+I22)</f>
        <v>0</v>
      </c>
    </row>
    <row r="25" spans="1:19" ht="17" thickTop="1">
      <c r="F25" s="8"/>
      <c r="M25" s="8"/>
    </row>
    <row r="26" spans="1:19">
      <c r="A26" t="s">
        <v>34</v>
      </c>
      <c r="B26" s="8">
        <f>M22+P22</f>
        <v>0</v>
      </c>
    </row>
    <row r="27" spans="1:19">
      <c r="A27" t="s">
        <v>31</v>
      </c>
      <c r="B27" s="8">
        <f>C22+F22+I22</f>
        <v>0</v>
      </c>
    </row>
    <row r="28" spans="1:19">
      <c r="A28" t="s">
        <v>32</v>
      </c>
      <c r="B28" s="25">
        <f>B26-B27</f>
        <v>0</v>
      </c>
    </row>
  </sheetData>
  <mergeCells count="13">
    <mergeCell ref="A1:P1"/>
    <mergeCell ref="A2:I2"/>
    <mergeCell ref="K2:P2"/>
    <mergeCell ref="A3:C3"/>
    <mergeCell ref="D3:F3"/>
    <mergeCell ref="G3:I3"/>
    <mergeCell ref="K3:M3"/>
    <mergeCell ref="N3:P3"/>
    <mergeCell ref="A22:B22"/>
    <mergeCell ref="D22:E22"/>
    <mergeCell ref="G22:H22"/>
    <mergeCell ref="K22:L22"/>
    <mergeCell ref="N22:O22"/>
  </mergeCells>
  <conditionalFormatting sqref="A5:I21">
    <cfRule type="expression" dxfId="3" priority="3">
      <formula>ISEVEN(ROW())</formula>
    </cfRule>
  </conditionalFormatting>
  <conditionalFormatting sqref="K5:P21">
    <cfRule type="expression" dxfId="2" priority="1">
      <formula>ISEVEN(ROW())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BE03-ACB6-434A-88F3-41FDF777BD9F}">
  <sheetPr>
    <tabColor theme="9"/>
  </sheetPr>
  <dimension ref="A1:N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9" sqref="D19"/>
    </sheetView>
  </sheetViews>
  <sheetFormatPr baseColWidth="10" defaultRowHeight="16"/>
  <cols>
    <col min="1" max="1" width="27.7109375" bestFit="1" customWidth="1"/>
    <col min="2" max="14" width="17.5703125" customWidth="1"/>
  </cols>
  <sheetData>
    <row r="1" spans="1:14" ht="37">
      <c r="A1" s="69" t="s">
        <v>33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1"/>
    </row>
    <row r="2" spans="1:14" ht="32">
      <c r="A2" s="72" t="s">
        <v>47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4"/>
    </row>
    <row r="3" spans="1:14" ht="23">
      <c r="A3" s="19" t="s">
        <v>10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H3" s="11" t="s">
        <v>24</v>
      </c>
      <c r="I3" s="11" t="s">
        <v>25</v>
      </c>
      <c r="J3" s="11" t="s">
        <v>26</v>
      </c>
      <c r="K3" s="11" t="s">
        <v>27</v>
      </c>
      <c r="L3" s="11" t="s">
        <v>28</v>
      </c>
      <c r="M3" s="11" t="s">
        <v>29</v>
      </c>
      <c r="N3" s="13" t="s">
        <v>12</v>
      </c>
    </row>
    <row r="4" spans="1:14" s="18" customFormat="1" ht="24" customHeight="1">
      <c r="A4" s="52" t="s">
        <v>11</v>
      </c>
      <c r="B4" s="53">
        <f>Jan!M13</f>
        <v>15000</v>
      </c>
      <c r="C4" s="53">
        <f>Feb!M22</f>
        <v>0</v>
      </c>
      <c r="D4" s="53">
        <f>Mar!M22</f>
        <v>0</v>
      </c>
      <c r="E4" s="54">
        <f>April!M22</f>
        <v>0</v>
      </c>
      <c r="F4" s="54">
        <f>May!M22</f>
        <v>0</v>
      </c>
      <c r="G4" s="55">
        <f>Jun!M22</f>
        <v>0</v>
      </c>
      <c r="H4" s="53">
        <f>Jul!M22</f>
        <v>0</v>
      </c>
      <c r="I4" s="53">
        <f>Aug!M22</f>
        <v>0</v>
      </c>
      <c r="J4" s="55">
        <f>Sep!M22</f>
        <v>0</v>
      </c>
      <c r="K4" s="53">
        <f>Oct!M22</f>
        <v>0</v>
      </c>
      <c r="L4" s="53">
        <f>Nov!M22</f>
        <v>0</v>
      </c>
      <c r="M4" s="53">
        <f>Dec!M22</f>
        <v>0</v>
      </c>
      <c r="N4" s="56">
        <f>SUM(B4:M4)</f>
        <v>15000</v>
      </c>
    </row>
    <row r="5" spans="1:14" s="18" customFormat="1" ht="24" customHeight="1">
      <c r="A5" s="57" t="s">
        <v>0</v>
      </c>
      <c r="B5" s="53">
        <f>Jan!P13</f>
        <v>10</v>
      </c>
      <c r="C5" s="53">
        <f>Feb!P22</f>
        <v>0</v>
      </c>
      <c r="D5" s="53">
        <f>Mar!P22</f>
        <v>0</v>
      </c>
      <c r="E5" s="54">
        <f>April!P22</f>
        <v>0</v>
      </c>
      <c r="F5" s="54">
        <f>May!P22</f>
        <v>0</v>
      </c>
      <c r="G5" s="55">
        <f>Jun!P22</f>
        <v>0</v>
      </c>
      <c r="H5" s="53">
        <f>Jul!P22</f>
        <v>0</v>
      </c>
      <c r="I5" s="53">
        <f>Aug!P22</f>
        <v>0</v>
      </c>
      <c r="J5" s="55">
        <f>Sep!P22</f>
        <v>0</v>
      </c>
      <c r="K5" s="53">
        <f>Oct!P22</f>
        <v>0</v>
      </c>
      <c r="L5" s="53">
        <f>Nov!P22</f>
        <v>0</v>
      </c>
      <c r="M5" s="53">
        <f>Dec!P22</f>
        <v>0</v>
      </c>
      <c r="N5" s="56">
        <f>SUM(B5:M5)</f>
        <v>10</v>
      </c>
    </row>
    <row r="6" spans="1:14" ht="30" customHeight="1" thickBot="1">
      <c r="A6" s="17" t="s">
        <v>12</v>
      </c>
      <c r="B6" s="22">
        <f>SUM(B4:B5)</f>
        <v>15010</v>
      </c>
      <c r="C6" s="22">
        <f t="shared" ref="C6:M6" si="0">SUM(C4:C5)</f>
        <v>0</v>
      </c>
      <c r="D6" s="22">
        <f t="shared" si="0"/>
        <v>0</v>
      </c>
      <c r="E6" s="22">
        <f t="shared" si="0"/>
        <v>0</v>
      </c>
      <c r="F6" s="22">
        <f t="shared" si="0"/>
        <v>0</v>
      </c>
      <c r="G6" s="22">
        <f t="shared" si="0"/>
        <v>0</v>
      </c>
      <c r="H6" s="22">
        <f t="shared" si="0"/>
        <v>0</v>
      </c>
      <c r="I6" s="22">
        <f t="shared" si="0"/>
        <v>0</v>
      </c>
      <c r="J6" s="22">
        <f>SUM(J4:J5)</f>
        <v>0</v>
      </c>
      <c r="K6" s="22">
        <f t="shared" si="0"/>
        <v>0</v>
      </c>
      <c r="L6" s="22">
        <f t="shared" si="0"/>
        <v>0</v>
      </c>
      <c r="M6" s="22">
        <f t="shared" si="0"/>
        <v>0</v>
      </c>
      <c r="N6" s="23">
        <f t="shared" ref="N6" si="1">SUM(B6:M6)</f>
        <v>15010</v>
      </c>
    </row>
    <row r="7" spans="1:14" ht="18" thickTop="1">
      <c r="A7" s="1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5"/>
    </row>
    <row r="8" spans="1:14" ht="23">
      <c r="A8" s="19" t="s">
        <v>4</v>
      </c>
      <c r="B8" s="11" t="str">
        <f>B3</f>
        <v>January</v>
      </c>
      <c r="C8" s="11" t="str">
        <f t="shared" ref="C8:L8" si="2">C3</f>
        <v>February</v>
      </c>
      <c r="D8" s="11" t="str">
        <f t="shared" si="2"/>
        <v>March</v>
      </c>
      <c r="E8" s="11" t="str">
        <f t="shared" si="2"/>
        <v>April</v>
      </c>
      <c r="F8" s="11" t="str">
        <f t="shared" si="2"/>
        <v>May</v>
      </c>
      <c r="G8" s="11" t="str">
        <f t="shared" si="2"/>
        <v>June</v>
      </c>
      <c r="H8" s="11" t="str">
        <f t="shared" si="2"/>
        <v>July</v>
      </c>
      <c r="I8" s="11" t="str">
        <f t="shared" si="2"/>
        <v>August</v>
      </c>
      <c r="J8" s="11" t="str">
        <f t="shared" si="2"/>
        <v>September</v>
      </c>
      <c r="K8" s="11" t="str">
        <f t="shared" si="2"/>
        <v>October</v>
      </c>
      <c r="L8" s="11" t="str">
        <f t="shared" si="2"/>
        <v>November</v>
      </c>
      <c r="M8" s="11" t="str">
        <f>M3</f>
        <v>December</v>
      </c>
      <c r="N8" s="13" t="s">
        <v>12</v>
      </c>
    </row>
    <row r="9" spans="1:14" s="18" customFormat="1" ht="24" customHeight="1">
      <c r="A9" s="52" t="s">
        <v>17</v>
      </c>
      <c r="B9" s="55">
        <f>Jan!C13</f>
        <v>5000</v>
      </c>
      <c r="C9" s="53">
        <f>Feb!C22</f>
        <v>0</v>
      </c>
      <c r="D9" s="53">
        <f>Mar!C22</f>
        <v>0</v>
      </c>
      <c r="E9" s="54">
        <f>April!C22</f>
        <v>0</v>
      </c>
      <c r="F9" s="54">
        <f>May!C22</f>
        <v>0</v>
      </c>
      <c r="G9" s="55">
        <f>Jun!C22</f>
        <v>0</v>
      </c>
      <c r="H9" s="53">
        <f>Jul!C22</f>
        <v>0</v>
      </c>
      <c r="I9" s="53">
        <f>Aug!C22</f>
        <v>0</v>
      </c>
      <c r="J9" s="55">
        <f>Sep!C22</f>
        <v>0</v>
      </c>
      <c r="K9" s="53">
        <f>Oct!C22</f>
        <v>0</v>
      </c>
      <c r="L9" s="53">
        <f>Nov!C22</f>
        <v>0</v>
      </c>
      <c r="M9" s="53">
        <f>Dec!C22</f>
        <v>0</v>
      </c>
      <c r="N9" s="56">
        <f>SUM(B9:M9)</f>
        <v>5000</v>
      </c>
    </row>
    <row r="10" spans="1:14" s="18" customFormat="1" ht="24" customHeight="1">
      <c r="A10" s="57" t="s">
        <v>15</v>
      </c>
      <c r="B10" s="55">
        <f>Jan!F13</f>
        <v>135</v>
      </c>
      <c r="C10" s="53">
        <f>Feb!F22</f>
        <v>0</v>
      </c>
      <c r="D10" s="53">
        <f>Mar!F22</f>
        <v>0</v>
      </c>
      <c r="E10" s="54">
        <f>April!F22</f>
        <v>0</v>
      </c>
      <c r="F10" s="54">
        <f>May!F22</f>
        <v>0</v>
      </c>
      <c r="G10" s="55">
        <f>Jun!F22</f>
        <v>0</v>
      </c>
      <c r="H10" s="53">
        <f>Jul!F22</f>
        <v>0</v>
      </c>
      <c r="I10" s="53">
        <f>Aug!F22</f>
        <v>0</v>
      </c>
      <c r="J10" s="55">
        <f>Sep!F22</f>
        <v>0</v>
      </c>
      <c r="K10" s="53">
        <f>Oct!F22</f>
        <v>0</v>
      </c>
      <c r="L10" s="53">
        <f>Nov!F22</f>
        <v>0</v>
      </c>
      <c r="M10" s="53">
        <f>Dec!F22</f>
        <v>0</v>
      </c>
      <c r="N10" s="56">
        <f>SUM(B10:M10)</f>
        <v>135</v>
      </c>
    </row>
    <row r="11" spans="1:14" s="18" customFormat="1" ht="24" customHeight="1">
      <c r="A11" s="52" t="s">
        <v>16</v>
      </c>
      <c r="B11" s="55">
        <f>Jan!I13</f>
        <v>80</v>
      </c>
      <c r="C11" s="53">
        <f>Feb!I22</f>
        <v>0</v>
      </c>
      <c r="D11" s="53">
        <f>Mar!I22</f>
        <v>0</v>
      </c>
      <c r="E11" s="54">
        <f>April!I22</f>
        <v>0</v>
      </c>
      <c r="F11" s="54">
        <f>May!I22</f>
        <v>0</v>
      </c>
      <c r="G11" s="55">
        <f>Jun!I22</f>
        <v>0</v>
      </c>
      <c r="H11" s="53">
        <f>Jul!I22</f>
        <v>0</v>
      </c>
      <c r="I11" s="53">
        <f>Aug!I22</f>
        <v>0</v>
      </c>
      <c r="J11" s="55">
        <f>Sep!I22</f>
        <v>0</v>
      </c>
      <c r="K11" s="53">
        <f>Oct!I22</f>
        <v>0</v>
      </c>
      <c r="L11" s="53">
        <f>Nov!I22</f>
        <v>0</v>
      </c>
      <c r="M11" s="53">
        <f>Dec!I22</f>
        <v>0</v>
      </c>
      <c r="N11" s="56">
        <f>SUM(B11:M11)</f>
        <v>80</v>
      </c>
    </row>
    <row r="12" spans="1:14" ht="30" customHeight="1" thickBot="1">
      <c r="A12" s="17" t="s">
        <v>12</v>
      </c>
      <c r="B12" s="22">
        <f t="shared" ref="B12:N12" si="3">SUM(B9:B11)</f>
        <v>5215</v>
      </c>
      <c r="C12" s="22">
        <f t="shared" si="3"/>
        <v>0</v>
      </c>
      <c r="D12" s="22">
        <f t="shared" si="3"/>
        <v>0</v>
      </c>
      <c r="E12" s="22">
        <f t="shared" si="3"/>
        <v>0</v>
      </c>
      <c r="F12" s="22">
        <f t="shared" si="3"/>
        <v>0</v>
      </c>
      <c r="G12" s="22">
        <f t="shared" si="3"/>
        <v>0</v>
      </c>
      <c r="H12" s="22">
        <f t="shared" si="3"/>
        <v>0</v>
      </c>
      <c r="I12" s="22">
        <f t="shared" si="3"/>
        <v>0</v>
      </c>
      <c r="J12" s="22">
        <f t="shared" si="3"/>
        <v>0</v>
      </c>
      <c r="K12" s="22">
        <f t="shared" si="3"/>
        <v>0</v>
      </c>
      <c r="L12" s="22">
        <f t="shared" si="3"/>
        <v>0</v>
      </c>
      <c r="M12" s="22">
        <f t="shared" si="3"/>
        <v>0</v>
      </c>
      <c r="N12" s="23">
        <f t="shared" si="3"/>
        <v>5215</v>
      </c>
    </row>
    <row r="13" spans="1:14" ht="18" thickTop="1">
      <c r="A13" s="16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5"/>
    </row>
    <row r="14" spans="1:14" ht="30" customHeight="1" thickBot="1">
      <c r="A14" s="24" t="s">
        <v>30</v>
      </c>
      <c r="B14" s="20">
        <f t="shared" ref="B14:N14" si="4">B6-B12</f>
        <v>9795</v>
      </c>
      <c r="C14" s="20">
        <f t="shared" si="4"/>
        <v>0</v>
      </c>
      <c r="D14" s="20">
        <f t="shared" si="4"/>
        <v>0</v>
      </c>
      <c r="E14" s="20">
        <f t="shared" si="4"/>
        <v>0</v>
      </c>
      <c r="F14" s="20">
        <f t="shared" si="4"/>
        <v>0</v>
      </c>
      <c r="G14" s="20">
        <f t="shared" si="4"/>
        <v>0</v>
      </c>
      <c r="H14" s="20">
        <f t="shared" si="4"/>
        <v>0</v>
      </c>
      <c r="I14" s="20">
        <f t="shared" si="4"/>
        <v>0</v>
      </c>
      <c r="J14" s="20">
        <f t="shared" si="4"/>
        <v>0</v>
      </c>
      <c r="K14" s="20">
        <f t="shared" si="4"/>
        <v>0</v>
      </c>
      <c r="L14" s="20">
        <f t="shared" si="4"/>
        <v>0</v>
      </c>
      <c r="M14" s="20">
        <f t="shared" si="4"/>
        <v>0</v>
      </c>
      <c r="N14" s="21">
        <f t="shared" si="4"/>
        <v>9795</v>
      </c>
    </row>
  </sheetData>
  <mergeCells count="2">
    <mergeCell ref="A1:N1"/>
    <mergeCell ref="A2:N2"/>
  </mergeCells>
  <conditionalFormatting sqref="A4:N5 A9:N11">
    <cfRule type="expression" dxfId="1" priority="1">
      <formula>ISODD(ROW())</formula>
    </cfRule>
    <cfRule type="expression" dxfId="0" priority="2">
      <formula>ISEVEN(ROW())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499984740745262"/>
  </sheetPr>
  <dimension ref="B2:B6"/>
  <sheetViews>
    <sheetView showGridLines="0" workbookViewId="0">
      <selection activeCell="B7" sqref="B7"/>
    </sheetView>
  </sheetViews>
  <sheetFormatPr baseColWidth="10" defaultColWidth="8.7109375" defaultRowHeight="16"/>
  <cols>
    <col min="1" max="1" width="1.7109375" customWidth="1"/>
  </cols>
  <sheetData>
    <row r="2" spans="2:2">
      <c r="B2" t="s">
        <v>3</v>
      </c>
    </row>
    <row r="4" spans="2:2">
      <c r="B4" s="1" t="e">
        <f>MIN(1-B5,1)</f>
        <v>#REF!</v>
      </c>
    </row>
    <row r="5" spans="2:2">
      <c r="B5" s="1" t="e">
        <f>MIN(Total_Monthly_Expenses/Total_Monthly_Income,1)</f>
        <v>#REF!</v>
      </c>
    </row>
    <row r="6" spans="2:2">
      <c r="B6" t="e">
        <f>(Total_Monthly_Expenses/Total_Monthly_Income)&gt;1</f>
        <v>#REF!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TM10000061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Feb</vt:lpstr>
      <vt:lpstr>Mar</vt:lpstr>
      <vt:lpstr>April</vt:lpstr>
      <vt:lpstr>May</vt:lpstr>
      <vt:lpstr>Jun</vt:lpstr>
      <vt:lpstr>Jul</vt:lpstr>
      <vt:lpstr>Aug</vt:lpstr>
      <vt:lpstr>Sep</vt:lpstr>
      <vt:lpstr>Oct</vt:lpstr>
      <vt:lpstr>Nov</vt:lpstr>
      <vt:lpstr>Dec</vt:lpstr>
      <vt:lpstr>Totals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2014-09-09T12:22:13Z</dcterms:created>
  <dcterms:modified xsi:type="dcterms:W3CDTF">2025-12-21T20:32:37Z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TF10000025</vt:lpwstr>
  </property>
</Properties>
</file>