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420"/>
  <workbookPr showInkAnnotation="0"/>
  <mc:AlternateContent xmlns:mc="http://schemas.openxmlformats.org/markup-compatibility/2006">
    <mc:Choice Requires="x15">
      <x15ac:absPath xmlns:x15ac="http://schemas.microsoft.com/office/spreadsheetml/2010/11/ac" url="/Users/josephkorman/Desktop/To add/"/>
    </mc:Choice>
  </mc:AlternateContent>
  <xr:revisionPtr revIDLastSave="0" documentId="13_ncr:1_{45EA1ABF-36AD-6A47-8B45-86370C1924B2}" xr6:coauthVersionLast="47" xr6:coauthVersionMax="47" xr10:uidLastSave="{00000000-0000-0000-0000-000000000000}"/>
  <bookViews>
    <workbookView xWindow="0" yWindow="760" windowWidth="30240" windowHeight="17460" xr2:uid="{00000000-000D-0000-FFFF-FFFF00000000}"/>
  </bookViews>
  <sheets>
    <sheet name="Loan Payment Calculator" sheetId="1" r:id="rId1"/>
  </sheets>
  <definedNames>
    <definedName name="All_Sections">'Loan Payment Calculator'!$B$2:$H$19</definedName>
    <definedName name="Calculator">'Loan Payment Calculator'!$B$2:$C$9</definedName>
    <definedName name="Down_Payment">'Loan Payment Calculator'!$C$4</definedName>
    <definedName name="Interest_Rate">'Loan Payment Calculator'!$C$7</definedName>
    <definedName name="Loan_Amount">'Loan Payment Calculator'!$C$8</definedName>
    <definedName name="Monthly_Payment">'Loan Payment Calculator'!$C$9</definedName>
    <definedName name="Price">'Loan Payment Calculator'!$C$5</definedName>
    <definedName name="_xlnm.Print_Area" localSheetId="0">'Loan Payment Calculator'!$B$2:$C$9</definedName>
    <definedName name="Rate_Schedule">'Loan Payment Calculator'!$E$2:$H$19</definedName>
    <definedName name="Years">'Loan Payment Calculator'!$C$6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" i="1" l="1"/>
  <c r="C9" i="1" s="1"/>
  <c r="G4" i="1" s="1"/>
  <c r="H4" i="1" s="1"/>
  <c r="F4" i="1" l="1"/>
</calcChain>
</file>

<file path=xl/sharedStrings.xml><?xml version="1.0" encoding="utf-8"?>
<sst xmlns="http://schemas.openxmlformats.org/spreadsheetml/2006/main" count="14" uniqueCount="13">
  <si>
    <t>Item</t>
  </si>
  <si>
    <t>Interest</t>
  </si>
  <si>
    <t>Monthly Payment</t>
  </si>
  <si>
    <t>Total Cost</t>
  </si>
  <si>
    <t>Total Interest</t>
  </si>
  <si>
    <t>Price</t>
  </si>
  <si>
    <t>Down Payment</t>
  </si>
  <si>
    <t>Interest Rate</t>
  </si>
  <si>
    <t>Years</t>
  </si>
  <si>
    <t>Loan Amount</t>
  </si>
  <si>
    <t>Loan Payment Calculator</t>
  </si>
  <si>
    <t>Interest Rate Schedule</t>
  </si>
  <si>
    <t>Boat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</si>
</sst>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$&quot;#,##0.00_);[Red]\(&quot;$&quot;#,##0.00\)"/>
    <numFmt numFmtId="43" formatCode="_(* #,##0.00_);_(* \(#,##0.00\);_(* &quot;-&quot;??_);_(@_)"/>
    <numFmt numFmtId="164" formatCode="&quot;$&quot;#,##0.00;[Red]&quot;$&quot;#,##0.00"/>
  </numFmts>
  <fonts count="10" x14ac:knownFonts="1">
    <font>
      <sz val="10"/>
      <name val="Arial"/>
    </font>
    <font>
      <sz val="10"/>
      <name val="Arial"/>
      <family val="2"/>
    </font>
    <font>
      <b/>
      <sz val="10"/>
      <name val="Times New Roman"/>
      <family val="1"/>
    </font>
    <font>
      <b/>
      <sz val="18"/>
      <color theme="3"/>
      <name val="Century Gothic"/>
      <family val="2"/>
      <scheme val="major"/>
    </font>
    <font>
      <b/>
      <sz val="11"/>
      <color theme="3"/>
      <name val="Century Gothic"/>
      <family val="2"/>
      <scheme val="minor"/>
    </font>
    <font>
      <b/>
      <sz val="11"/>
      <name val="Times New Roman"/>
      <family val="1"/>
    </font>
    <font>
      <b/>
      <sz val="10"/>
      <color theme="7" tint="-0.249977111117893"/>
      <name val="Times New Roman"/>
      <family val="1"/>
    </font>
    <font>
      <b/>
      <sz val="11"/>
      <color theme="7" tint="-0.249977111117893"/>
      <name val="Times New Roman"/>
      <family val="1"/>
    </font>
    <font>
      <b/>
      <sz val="18"/>
      <color theme="5"/>
      <name val="Times New Roman"/>
      <family val="1"/>
    </font>
    <font>
      <b/>
      <sz val="11"/>
      <color theme="5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4" fillId="0" borderId="1" applyNumberFormat="0" applyFill="0" applyAlignment="0" applyProtection="0"/>
  </cellStyleXfs>
  <cellXfs count="20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5" fillId="0" borderId="0" xfId="0" applyFont="1" applyAlignment="1">
      <alignment horizontal="left"/>
    </xf>
    <xf numFmtId="0" fontId="5" fillId="0" borderId="0" xfId="0" applyFont="1"/>
    <xf numFmtId="10" fontId="5" fillId="0" borderId="0" xfId="0" applyNumberFormat="1" applyFont="1"/>
    <xf numFmtId="2" fontId="5" fillId="0" borderId="0" xfId="1" applyNumberFormat="1" applyFont="1" applyFill="1" applyBorder="1"/>
    <xf numFmtId="8" fontId="5" fillId="0" borderId="0" xfId="0" applyNumberFormat="1" applyFont="1"/>
    <xf numFmtId="2" fontId="5" fillId="0" borderId="0" xfId="0" applyNumberFormat="1" applyFont="1"/>
    <xf numFmtId="0" fontId="6" fillId="0" borderId="0" xfId="0" applyFont="1" applyAlignment="1">
      <alignment horizontal="center" vertical="center"/>
    </xf>
    <xf numFmtId="0" fontId="7" fillId="0" borderId="0" xfId="0" applyFont="1"/>
    <xf numFmtId="2" fontId="7" fillId="0" borderId="0" xfId="0" applyNumberFormat="1" applyFont="1" applyAlignment="1">
      <alignment horizontal="right"/>
    </xf>
    <xf numFmtId="0" fontId="9" fillId="0" borderId="0" xfId="3" applyFont="1" applyFill="1" applyBorder="1" applyAlignment="1">
      <alignment horizontal="right"/>
    </xf>
    <xf numFmtId="8" fontId="9" fillId="0" borderId="0" xfId="3" applyNumberFormat="1" applyFont="1" applyFill="1" applyBorder="1" applyAlignment="1">
      <alignment horizontal="right"/>
    </xf>
    <xf numFmtId="0" fontId="5" fillId="0" borderId="0" xfId="0" applyFont="1" applyAlignment="1" applyProtection="1">
      <alignment horizontal="right"/>
      <protection locked="0"/>
    </xf>
    <xf numFmtId="164" fontId="5" fillId="0" borderId="0" xfId="0" applyNumberFormat="1" applyFont="1" applyProtection="1">
      <protection locked="0"/>
    </xf>
    <xf numFmtId="1" fontId="5" fillId="0" borderId="0" xfId="0" applyNumberFormat="1" applyFont="1" applyProtection="1">
      <protection locked="0"/>
    </xf>
    <xf numFmtId="10" fontId="5" fillId="0" borderId="0" xfId="0" applyNumberFormat="1" applyFont="1" applyProtection="1">
      <protection locked="0"/>
    </xf>
    <xf numFmtId="0" fontId="8" fillId="0" borderId="0" xfId="2" applyFont="1" applyFill="1" applyBorder="1" applyAlignment="1">
      <alignment horizontal="center" vertical="center" wrapText="1"/>
    </xf>
    <xf numFmtId="0" fontId="8" fillId="0" borderId="0" xfId="2" applyFont="1" applyFill="1" applyBorder="1" applyAlignment="1">
      <alignment horizontal="center" vertical="center"/>
    </xf>
  </cellXfs>
  <cellStyles count="4">
    <cellStyle name="Comma" xfId="1" builtinId="3"/>
    <cellStyle name="Heading 3" xfId="3" builtinId="18"/>
    <cellStyle name="Normal" xfId="0" builtinId="0"/>
    <cellStyle name="Title" xfId="2" builtinId="1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Savon">
  <a:themeElements>
    <a:clrScheme name="Savon">
      <a:dk1>
        <a:sysClr val="windowText" lastClr="000000"/>
      </a:dk1>
      <a:lt1>
        <a:sysClr val="window" lastClr="FFFFFF"/>
      </a:lt1>
      <a:dk2>
        <a:srgbClr val="1485A4"/>
      </a:dk2>
      <a:lt2>
        <a:srgbClr val="E3DED1"/>
      </a:lt2>
      <a:accent1>
        <a:srgbClr val="1CADE4"/>
      </a:accent1>
      <a:accent2>
        <a:srgbClr val="2683C6"/>
      </a:accent2>
      <a:accent3>
        <a:srgbClr val="27CED7"/>
      </a:accent3>
      <a:accent4>
        <a:srgbClr val="42BA97"/>
      </a:accent4>
      <a:accent5>
        <a:srgbClr val="3E8853"/>
      </a:accent5>
      <a:accent6>
        <a:srgbClr val="62A39F"/>
      </a:accent6>
      <a:hlink>
        <a:srgbClr val="F49100"/>
      </a:hlink>
      <a:folHlink>
        <a:srgbClr val="739D9B"/>
      </a:folHlink>
    </a:clrScheme>
    <a:fontScheme name="Savon">
      <a:majorFont>
        <a:latin typeface="Century Gothic" panose="020B0502020202020204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entury Gothic" panose="020B0502020202020204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Verdana"/>
        <a:font script="Uigh" typeface="Microsoft Uighur"/>
        <a:font script="Geor" typeface="Sylfaen"/>
      </a:minorFont>
    </a:fontScheme>
    <a:fmtScheme name="Savon">
      <a:fillStyleLst>
        <a:solidFill>
          <a:schemeClr val="phClr"/>
        </a:solidFill>
        <a:gradFill rotWithShape="1">
          <a:gsLst>
            <a:gs pos="0">
              <a:schemeClr val="phClr">
                <a:tint val="60000"/>
                <a:satMod val="105000"/>
                <a:lumMod val="105000"/>
              </a:schemeClr>
            </a:gs>
            <a:gs pos="100000">
              <a:schemeClr val="phClr">
                <a:tint val="65000"/>
                <a:satMod val="100000"/>
                <a:lumMod val="100000"/>
              </a:schemeClr>
            </a:gs>
            <a:gs pos="100000">
              <a:schemeClr val="phClr">
                <a:tint val="70000"/>
                <a:satMod val="100000"/>
                <a:lumMod val="100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0000"/>
                <a:lumMod val="100000"/>
              </a:schemeClr>
            </a:gs>
            <a:gs pos="50000">
              <a:schemeClr val="phClr">
                <a:shade val="99000"/>
                <a:satMod val="105000"/>
                <a:lumMod val="100000"/>
              </a:schemeClr>
            </a:gs>
            <a:gs pos="100000">
              <a:schemeClr val="phClr">
                <a:shade val="98000"/>
                <a:satMod val="105000"/>
                <a:lumMod val="100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38100" dist="12700" dir="5400000" algn="ctr" rotWithShape="0">
              <a:srgbClr val="000000">
                <a:alpha val="63000"/>
              </a:srgbClr>
            </a:outerShdw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cene3d>
            <a:camera prst="orthographicFront">
              <a:rot lat="0" lon="0" rev="0"/>
            </a:camera>
            <a:lightRig rig="flat" dir="tl">
              <a:rot lat="0" lon="0" rev="4200000"/>
            </a:lightRig>
          </a:scene3d>
          <a:sp3d prstMaterial="flat">
            <a:bevelT w="50800" h="63500" prst="riblet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  <a:shade val="92000"/>
                <a:satMod val="160000"/>
              </a:schemeClr>
            </a:gs>
            <a:gs pos="77000">
              <a:schemeClr val="phClr">
                <a:tint val="100000"/>
                <a:shade val="73000"/>
                <a:satMod val="155000"/>
              </a:schemeClr>
            </a:gs>
            <a:gs pos="100000">
              <a:schemeClr val="phClr">
                <a:tint val="100000"/>
                <a:shade val="67000"/>
                <a:satMod val="145000"/>
              </a:schemeClr>
            </a:gs>
          </a:gsLst>
          <a:lin ang="5400000" scaled="0"/>
        </a:gradFill>
        <a:blipFill rotWithShape="1">
          <a:blip xmlns:r="http://schemas.openxmlformats.org/officeDocument/2006/relationships" r:embed="rId1">
            <a:duotone>
              <a:schemeClr val="phClr">
                <a:tint val="95000"/>
              </a:schemeClr>
              <a:schemeClr val="phClr">
                <a:shade val="92000"/>
                <a:satMod val="115000"/>
              </a:schemeClr>
            </a:duotone>
          </a:blip>
          <a:tile tx="0" ty="0" sx="60000" sy="60000" flip="none" algn="tl"/>
        </a:blip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Savon" id="{1306E473-ED32-493B-A2D0-240A757EDD34}" vid="{C20BADFE-D095-436F-9677-9264042809F0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F0"/>
    <pageSetUpPr fitToPage="1"/>
  </sheetPr>
  <dimension ref="B1:H19"/>
  <sheetViews>
    <sheetView tabSelected="1" zoomScale="186" zoomScaleNormal="100" workbookViewId="0">
      <selection activeCell="N5" sqref="N5"/>
    </sheetView>
  </sheetViews>
  <sheetFormatPr baseColWidth="10" defaultColWidth="9.1640625" defaultRowHeight="13" x14ac:dyDescent="0.15"/>
  <cols>
    <col min="1" max="1" width="0.83203125" style="1" customWidth="1"/>
    <col min="2" max="3" width="20.6640625" style="1" customWidth="1"/>
    <col min="4" max="4" width="4.5" style="1" customWidth="1"/>
    <col min="5" max="5" width="9.5" style="1" customWidth="1"/>
    <col min="6" max="8" width="18.6640625" style="1" customWidth="1"/>
    <col min="9" max="16384" width="9.1640625" style="1"/>
  </cols>
  <sheetData>
    <row r="1" spans="2:8" ht="4.5" customHeight="1" x14ac:dyDescent="0.15"/>
    <row r="2" spans="2:8" ht="50.25" customHeight="1" x14ac:dyDescent="0.15">
      <c r="B2" s="18" t="s">
        <v>10</v>
      </c>
      <c r="C2" s="19"/>
      <c r="D2" s="9"/>
      <c r="E2" s="18" t="s">
        <v>11</v>
      </c>
      <c r="F2" s="18"/>
      <c r="G2" s="18"/>
      <c r="H2" s="18"/>
    </row>
    <row r="3" spans="2:8" ht="15" customHeight="1" x14ac:dyDescent="0.15">
      <c r="B3" s="3" t="s">
        <v>0</v>
      </c>
      <c r="C3" s="14" t="s">
        <v>12</v>
      </c>
      <c r="D3" s="2"/>
      <c r="E3" s="10"/>
      <c r="F3" s="12" t="s">
        <v>2</v>
      </c>
      <c r="G3" s="12" t="s">
        <v>3</v>
      </c>
      <c r="H3" s="12" t="s">
        <v>4</v>
      </c>
    </row>
    <row r="4" spans="2:8" ht="15" customHeight="1" x14ac:dyDescent="0.15">
      <c r="B4" s="3" t="s">
        <v>6</v>
      </c>
      <c r="C4" s="15">
        <v>30000</v>
      </c>
      <c r="E4" s="13" t="s">
        <v>1</v>
      </c>
      <c r="F4" s="11">
        <f>Monthly_Payment</f>
        <v>1278.5872294672167</v>
      </c>
      <c r="G4" s="11">
        <f>12*Monthly_Payment* Years+Down_Payment</f>
        <v>152744.37402885279</v>
      </c>
      <c r="H4" s="11">
        <f>G4-Price</f>
        <v>37744.374028852792</v>
      </c>
    </row>
    <row r="5" spans="2:8" ht="15" customHeight="1" x14ac:dyDescent="0.15">
      <c r="B5" s="3" t="s">
        <v>5</v>
      </c>
      <c r="C5" s="15">
        <v>115000</v>
      </c>
      <c r="E5" s="5">
        <v>7.7499999999999999E-2</v>
      </c>
      <c r="F5" s="6">
        <f t="dataTable" ref="F5:H19" dt2D="0" dtr="0" r1="C7"/>
        <v>1190.845231847781</v>
      </c>
      <c r="G5" s="6">
        <v>144321.14225738696</v>
      </c>
      <c r="H5" s="6">
        <v>29321.142257386964</v>
      </c>
    </row>
    <row r="6" spans="2:8" ht="15" customHeight="1" x14ac:dyDescent="0.15">
      <c r="B6" s="3" t="s">
        <v>8</v>
      </c>
      <c r="C6" s="16">
        <v>8</v>
      </c>
      <c r="E6" s="5">
        <v>0.08</v>
      </c>
      <c r="F6" s="6">
        <v>1201.6177366363083</v>
      </c>
      <c r="G6" s="6">
        <v>145355.30271708561</v>
      </c>
      <c r="H6" s="6">
        <v>30355.302717085608</v>
      </c>
    </row>
    <row r="7" spans="2:8" ht="15" customHeight="1" x14ac:dyDescent="0.15">
      <c r="B7" s="3" t="s">
        <v>7</v>
      </c>
      <c r="C7" s="17">
        <v>9.7500000000000003E-2</v>
      </c>
      <c r="E7" s="5">
        <v>8.2500000000000004E-2</v>
      </c>
      <c r="F7" s="6">
        <v>1212.4463560360109</v>
      </c>
      <c r="G7" s="6">
        <v>146394.85017945705</v>
      </c>
      <c r="H7" s="6">
        <v>31394.850179457047</v>
      </c>
    </row>
    <row r="8" spans="2:8" ht="15" customHeight="1" x14ac:dyDescent="0.15">
      <c r="B8" s="4" t="s">
        <v>9</v>
      </c>
      <c r="C8" s="7">
        <f>Price-Down_Payment</f>
        <v>85000</v>
      </c>
      <c r="E8" s="5">
        <v>8.5000000000000006E-2</v>
      </c>
      <c r="F8" s="6">
        <v>1223.3309295801023</v>
      </c>
      <c r="G8" s="6">
        <v>147439.76923968981</v>
      </c>
      <c r="H8" s="6">
        <v>32439.769239689806</v>
      </c>
    </row>
    <row r="9" spans="2:8" ht="15" customHeight="1" x14ac:dyDescent="0.15">
      <c r="B9" s="3" t="s">
        <v>2</v>
      </c>
      <c r="C9" s="7">
        <f>-PMT(Interest_Rate/12, 12*Years, Loan_Amount)</f>
        <v>1278.5872294672167</v>
      </c>
      <c r="E9" s="5">
        <v>8.7499999999999994E-2</v>
      </c>
      <c r="F9" s="6">
        <v>1234.2712929986601</v>
      </c>
      <c r="G9" s="6">
        <v>148490.04412787137</v>
      </c>
      <c r="H9" s="6">
        <v>33490.04412787137</v>
      </c>
    </row>
    <row r="10" spans="2:8" ht="15" customHeight="1" x14ac:dyDescent="0.15">
      <c r="E10" s="5">
        <v>0.09</v>
      </c>
      <c r="F10" s="6">
        <v>1245.267278263902</v>
      </c>
      <c r="G10" s="6">
        <v>149545.65871333459</v>
      </c>
      <c r="H10" s="6">
        <v>34545.658713334589</v>
      </c>
    </row>
    <row r="11" spans="2:8" ht="15" customHeight="1" x14ac:dyDescent="0.15">
      <c r="E11" s="5">
        <v>9.2499999999999999E-2</v>
      </c>
      <c r="F11" s="6">
        <v>1256.3187136362699</v>
      </c>
      <c r="G11" s="6">
        <v>150606.59650908189</v>
      </c>
      <c r="H11" s="6">
        <v>35606.596509081894</v>
      </c>
    </row>
    <row r="12" spans="2:8" ht="15" customHeight="1" x14ac:dyDescent="0.15">
      <c r="E12" s="5">
        <v>9.5000000000000001E-2</v>
      </c>
      <c r="F12" s="6">
        <v>1267.4254237112925</v>
      </c>
      <c r="G12" s="6">
        <v>151672.84067628408</v>
      </c>
      <c r="H12" s="6">
        <v>36672.840676284075</v>
      </c>
    </row>
    <row r="13" spans="2:8" ht="15" customHeight="1" x14ac:dyDescent="0.15">
      <c r="E13" s="5">
        <v>9.7500000000000003E-2</v>
      </c>
      <c r="F13" s="6">
        <v>1278.5872294672167</v>
      </c>
      <c r="G13" s="6">
        <v>152744.37402885279</v>
      </c>
      <c r="H13" s="6">
        <v>37744.374028852792</v>
      </c>
    </row>
    <row r="14" spans="2:8" ht="15" customHeight="1" x14ac:dyDescent="0.15">
      <c r="E14" s="5">
        <v>0.1</v>
      </c>
      <c r="F14" s="6">
        <v>1289.8039483133682</v>
      </c>
      <c r="G14" s="6">
        <v>153821.17903808336</v>
      </c>
      <c r="H14" s="6">
        <v>38821.179038083355</v>
      </c>
    </row>
    <row r="15" spans="2:8" ht="14" x14ac:dyDescent="0.15">
      <c r="E15" s="5">
        <v>0.10249999999999999</v>
      </c>
      <c r="F15" s="8">
        <v>1301.0753941392272</v>
      </c>
      <c r="G15" s="8">
        <v>154903.23783736583</v>
      </c>
      <c r="H15" s="8">
        <v>39903.237837365828</v>
      </c>
    </row>
    <row r="16" spans="2:8" ht="14" x14ac:dyDescent="0.15">
      <c r="E16" s="5">
        <v>0.105</v>
      </c>
      <c r="F16" s="8">
        <v>1312.4013773641884</v>
      </c>
      <c r="G16" s="8">
        <v>155990.5322269621</v>
      </c>
      <c r="H16" s="8">
        <v>40990.532226962096</v>
      </c>
    </row>
    <row r="17" spans="5:8" ht="14" x14ac:dyDescent="0.15">
      <c r="E17" s="5">
        <v>0.1075</v>
      </c>
      <c r="F17" s="8">
        <v>1323.7817049879841</v>
      </c>
      <c r="G17" s="8">
        <v>157083.04367884647</v>
      </c>
      <c r="H17" s="8">
        <v>42083.043678846472</v>
      </c>
    </row>
    <row r="18" spans="5:8" ht="14" x14ac:dyDescent="0.15">
      <c r="E18" s="5">
        <v>0.11</v>
      </c>
      <c r="F18" s="8">
        <v>1335.2161806417444</v>
      </c>
      <c r="G18" s="8">
        <v>158180.75334160746</v>
      </c>
      <c r="H18" s="8">
        <v>43180.753341607458</v>
      </c>
    </row>
    <row r="19" spans="5:8" ht="14" x14ac:dyDescent="0.15">
      <c r="E19" s="5">
        <v>0.1125</v>
      </c>
      <c r="F19" s="8">
        <v>1346.7046046396686</v>
      </c>
      <c r="G19" s="8">
        <v>159283.6420454082</v>
      </c>
      <c r="H19" s="8">
        <v>44283.642045408196</v>
      </c>
    </row>
  </sheetData>
  <sheetProtection selectLockedCells="1"/>
  <mergeCells count="2">
    <mergeCell ref="B2:C2"/>
    <mergeCell ref="E2:H2"/>
  </mergeCells>
  <phoneticPr fontId="0" type="noConversion"/>
  <pageMargins left="0.75" right="0.75" top="1" bottom="1" header="0.5" footer="0.5"/>
  <pageSetup orientation="portrait" blackAndWhite="1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10</vt:i4>
      </vt:variant>
    </vt:vector>
  </HeadingPairs>
  <TitlesOfParts>
    <vt:vector size="11" baseType="lpstr">
      <vt:lpstr>Loan Payment Calculator</vt:lpstr>
      <vt:lpstr>All_Sections</vt:lpstr>
      <vt:lpstr>Calculator</vt:lpstr>
      <vt:lpstr>Down_Payment</vt:lpstr>
      <vt:lpstr>Interest_Rate</vt:lpstr>
      <vt:lpstr>Loan_Amount</vt:lpstr>
      <vt:lpstr>Monthly_Payment</vt:lpstr>
      <vt:lpstr>Price</vt:lpstr>
      <vt:lpstr>'Loan Payment Calculator'!Print_Area</vt:lpstr>
      <vt:lpstr>Rate_Schedule</vt:lpstr>
      <vt:lpstr>Years</vt:lpstr>
    </vt:vector>
  </TitlesOfParts>
  <Company>Course Technology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Apply 4-1 Monthly Loan Payment</dc:title>
  <dc:creator>Your Name</dc:creator>
  <cp:lastModifiedBy>Joseph Korman</cp:lastModifiedBy>
  <dcterms:created xsi:type="dcterms:W3CDTF">1999-04-03T18:37:44Z</dcterms:created>
  <dcterms:modified xsi:type="dcterms:W3CDTF">2025-05-08T00:49:05Z</dcterms:modified>
</cp:coreProperties>
</file>