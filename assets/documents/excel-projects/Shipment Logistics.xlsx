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josephkorman/Desktop/"/>
    </mc:Choice>
  </mc:AlternateContent>
  <xr:revisionPtr revIDLastSave="0" documentId="13_ncr:1_{0A36D461-84C3-A646-BBB6-2B2ACB7AADDB}" xr6:coauthVersionLast="47" xr6:coauthVersionMax="47" xr10:uidLastSave="{00000000-0000-0000-0000-000000000000}"/>
  <bookViews>
    <workbookView xWindow="0" yWindow="760" windowWidth="30240" windowHeight="17460" tabRatio="607" firstSheet="1" activeTab="3" xr2:uid="{00000000-000D-0000-FFFF-FFFF00000000}"/>
  </bookViews>
  <sheets>
    <sheet name="Weekly Shipment Worksheet" sheetId="1" r:id="rId1"/>
    <sheet name="Shipment Plan Answer Report 1" sheetId="2" r:id="rId2"/>
    <sheet name="Shipment Plan Answer Report 2" sheetId="3" r:id="rId3"/>
    <sheet name="Shipment Scenario Summary" sheetId="4" r:id="rId4"/>
    <sheet name="Shipment Scenario PivotTable" sheetId="5" r:id="rId5"/>
  </sheets>
  <definedNames>
    <definedName name="Drum_Sets_in_Stock">'Weekly Shipment Worksheet'!$C$7</definedName>
    <definedName name="Drum_Sets_to_Ship">'Weekly Shipment Worksheet'!$C$9</definedName>
    <definedName name="Guitars_in_Stock">'Weekly Shipment Worksheet'!$B$7</definedName>
    <definedName name="Guitars_to_Ship">'Weekly Shipment Worksheet'!$B$9</definedName>
    <definedName name="Keyboards_in_Stock">'Weekly Shipment Worksheet'!$D$7</definedName>
    <definedName name="Keyboards_to_Ship">'Weekly Shipment Worksheet'!$D$9</definedName>
    <definedName name="solver_adj" localSheetId="0" hidden="1">'Weekly Shipment Worksheet'!$B$9:$D$9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'Weekly Shipment Worksheet'!$B$9:$D$9</definedName>
    <definedName name="solver_lhs10" localSheetId="0" hidden="1">'Weekly Shipment Worksheet'!$D$9</definedName>
    <definedName name="solver_lhs11" localSheetId="0" hidden="1">'Weekly Shipment Worksheet'!$E$12</definedName>
    <definedName name="solver_lhs2" localSheetId="0" hidden="1">'Weekly Shipment Worksheet'!$B$9:$D$9</definedName>
    <definedName name="solver_lhs3" localSheetId="0" hidden="1">'Weekly Shipment Worksheet'!$C$9</definedName>
    <definedName name="solver_lhs4" localSheetId="0" hidden="1">'Weekly Shipment Worksheet'!$B$9</definedName>
    <definedName name="solver_lhs5" localSheetId="0" hidden="1">'Weekly Shipment Worksheet'!$D$9</definedName>
    <definedName name="solver_lhs6" localSheetId="0" hidden="1">'Weekly Shipment Worksheet'!$E$11</definedName>
    <definedName name="solver_lhs7" localSheetId="0" hidden="1">'Weekly Shipment Worksheet'!$E$12</definedName>
    <definedName name="solver_lhs8" localSheetId="0" hidden="1">'Weekly Shipment Worksheet'!$B$9</definedName>
    <definedName name="solver_lhs9" localSheetId="0" hidden="1">'Weekly Shipment Worksheet'!$C$9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'Weekly Shipment Worksheet'!$E$13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10" localSheetId="0" hidden="1">1</definedName>
    <definedName name="solver_rel11" localSheetId="0" hidden="1">1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"integer"</definedName>
    <definedName name="solver_rhs10" localSheetId="0" hidden="1">'Weekly Shipment Worksheet'!$D$7</definedName>
    <definedName name="solver_rhs11" localSheetId="0" hidden="1">'Weekly Shipment Worksheet'!$B$17</definedName>
    <definedName name="solver_rhs2" localSheetId="0" hidden="1">1</definedName>
    <definedName name="solver_rhs3" localSheetId="0" hidden="1">Drum_Sets_in_Stock</definedName>
    <definedName name="solver_rhs4" localSheetId="0" hidden="1">Guitars_in_Stock</definedName>
    <definedName name="solver_rhs5" localSheetId="0" hidden="1">Keyboards_in_Stock</definedName>
    <definedName name="solver_rhs6" localSheetId="0" hidden="1">Truck_Volume</definedName>
    <definedName name="solver_rhs7" localSheetId="0" hidden="1">Truck_Weight</definedName>
    <definedName name="solver_rhs8" localSheetId="0" hidden="1">'Weekly Shipment Worksheet'!$B$7</definedName>
    <definedName name="solver_rhs9" localSheetId="0" hidden="1">'Weekly Shipment Worksheet'!$C$7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3</definedName>
    <definedName name="Total_Profit">'Weekly Shipment Worksheet'!$E$13</definedName>
    <definedName name="Total_Volume">'Weekly Shipment Worksheet'!$E$11</definedName>
    <definedName name="Total_Weight">'Weekly Shipment Worksheet'!$E$12</definedName>
    <definedName name="Truck_Volume">'Weekly Shipment Worksheet'!$B$16</definedName>
    <definedName name="Truck_Weight">'Weekly Shipment Worksheet'!$B$17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D11" i="1"/>
  <c r="D12" i="1" l="1"/>
  <c r="B12" i="1"/>
  <c r="C11" i="1"/>
  <c r="B11" i="1"/>
  <c r="D13" i="1"/>
  <c r="B13" i="1" l="1"/>
  <c r="E12" i="1" l="1"/>
  <c r="E11" i="1"/>
  <c r="E13" i="1"/>
</calcChain>
</file>

<file path=xl/sharedStrings.xml><?xml version="1.0" encoding="utf-8"?>
<sst xmlns="http://schemas.openxmlformats.org/spreadsheetml/2006/main" count="195" uniqueCount="82">
  <si>
    <t>Most Profitable Shipment</t>
  </si>
  <si>
    <t>Profit per Item</t>
  </si>
  <si>
    <t>Optimal Number to Ship</t>
  </si>
  <si>
    <t>Total Shipment Volume</t>
  </si>
  <si>
    <t>Item Volume in Cubic Feet</t>
  </si>
  <si>
    <t>Item Weight in Pounds</t>
  </si>
  <si>
    <t>Truck Constraints</t>
  </si>
  <si>
    <t>Guitars</t>
  </si>
  <si>
    <t>Spare Volume in Cubic Feet</t>
  </si>
  <si>
    <t>Spare Weight in Pounds</t>
  </si>
  <si>
    <t>Total Shipment Weight</t>
  </si>
  <si>
    <t>Total Shipment Profit</t>
  </si>
  <si>
    <t>Keyboards</t>
  </si>
  <si>
    <t>Instrument Logistics</t>
  </si>
  <si>
    <t>Weekly Shipment</t>
  </si>
  <si>
    <t>Drum Sets</t>
  </si>
  <si>
    <t>Number in Stock</t>
  </si>
  <si>
    <t>Microsoft Excel 16.0 Answer Report</t>
  </si>
  <si>
    <t>Worksheet: [SC_EX_9_InstrumentLogisticsAnalysis.xlsx]Weekly Shipment Worksheet</t>
  </si>
  <si>
    <t>Report Created: 4/8/2025 3:55:42 PM</t>
  </si>
  <si>
    <t>Result: Solver found a solution.  All Constraints and optimality conditions are satisfied.</t>
  </si>
  <si>
    <t>Solver Engine</t>
  </si>
  <si>
    <t>Engine: Simplex LP</t>
  </si>
  <si>
    <t>Solution Time: 0.125 Seconds.</t>
  </si>
  <si>
    <t>Iterations: 2 Subproblems: 8</t>
  </si>
  <si>
    <t>Solver Options</t>
  </si>
  <si>
    <t>Max Time Unlimited,  Iterations Unlimited, Precision 0.000001, Use Automatic Scaling</t>
  </si>
  <si>
    <t>Max Subproblems Unlimited, Max Integer Sols Unlimited, Integer Tolerance 0%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</si>
  <si>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</si>
  <si>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</si>
  <si>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</si>
  <si>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</si>
  <si>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</si>
  <si>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</si>
  <si>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</si>
  <si>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</si>
  <si>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</si>
  <si>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</si>
  <si>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</si>
  <si>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</si>
  <si>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$E$13</t>
  </si>
  <si>
    <t>Total_Profit</t>
  </si>
  <si>
    <t>$B$9</t>
  </si>
  <si>
    <t>Guitars_to_Ship</t>
  </si>
  <si>
    <t>$C$9</t>
  </si>
  <si>
    <t>Drum_Sets_to_Ship</t>
  </si>
  <si>
    <t>$D$9</t>
  </si>
  <si>
    <t>Keyboards_to_Ship</t>
  </si>
  <si>
    <t>$E$11</t>
  </si>
  <si>
    <t>Total_Volume</t>
  </si>
  <si>
    <t>$E$11&lt;=$B$16</t>
  </si>
  <si>
    <t>Not Binding</t>
  </si>
  <si>
    <t>$E$12</t>
  </si>
  <si>
    <t>Total_Weight</t>
  </si>
  <si>
    <t>$E$12&lt;=$B$17</t>
  </si>
  <si>
    <t>$B$9&gt;=1</t>
  </si>
  <si>
    <t>$C$9&gt;=1</t>
  </si>
  <si>
    <t>Binding</t>
  </si>
  <si>
    <t>$D$9&gt;=1</t>
  </si>
  <si>
    <t>$C$9&lt;=$C$7</t>
  </si>
  <si>
    <t>$B$9&lt;=$B$7</t>
  </si>
  <si>
    <t>$D$9&lt;=$D$7</t>
  </si>
  <si>
    <t>$B$9:$D$9=Integer</t>
  </si>
  <si>
    <t>Report Created: 4/8/2025 4:02:16 PM</t>
  </si>
  <si>
    <t>Solution Time: 0.016 Seconds.</t>
  </si>
  <si>
    <t>Iterations: 1 Subproblems: 2</t>
  </si>
  <si>
    <t>Truck_Volume</t>
  </si>
  <si>
    <t>Truck_Weight</t>
  </si>
  <si>
    <t>Shipment 1</t>
  </si>
  <si>
    <t>Created by Joseph Korman on 4/8/2025</t>
  </si>
  <si>
    <t>Shipment 2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</si>
  <si>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</si>
  <si>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</si>
  <si>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</si>
  <si>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</si>
  <si>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</si>
  <si>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</si>
  <si>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</si>
  <si>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Row Labels</t>
  </si>
  <si>
    <t>$B$9:$D$9,$B$16:$B$17 by</t>
  </si>
  <si>
    <t>(All)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</si>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</sst>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8"/>
      <color indexed="13"/>
      <name val="Arial"/>
      <family val="2"/>
    </font>
    <font>
      <b/>
      <sz val="10"/>
      <color indexed="13"/>
      <name val="Arial"/>
      <family val="2"/>
    </font>
    <font>
      <b/>
      <sz val="12"/>
      <color indexed="13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18"/>
      <name val="Arial"/>
      <family val="2"/>
    </font>
    <font>
      <b/>
      <sz val="11"/>
      <color indexed="9"/>
      <name val="Arial"/>
      <family val="2"/>
    </font>
    <font>
      <b/>
      <sz val="10"/>
      <color indexed="8"/>
      <name val="Arial"/>
      <family val="2"/>
    </font>
    <font>
      <sz val="9"/>
      <color indexed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164" fontId="2" fillId="0" borderId="0" xfId="0" applyNumberFormat="1" applyFont="1"/>
    <xf numFmtId="0" fontId="2" fillId="0" borderId="6" xfId="0" applyFont="1" applyBorder="1"/>
    <xf numFmtId="0" fontId="2" fillId="0" borderId="7" xfId="0" applyFont="1" applyBorder="1"/>
    <xf numFmtId="0" fontId="2" fillId="0" borderId="5" xfId="0" applyFont="1" applyBorder="1"/>
    <xf numFmtId="164" fontId="2" fillId="0" borderId="8" xfId="0" applyNumberFormat="1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 applyAlignment="1">
      <alignment horizontal="right"/>
    </xf>
    <xf numFmtId="1" fontId="2" fillId="0" borderId="0" xfId="0" applyNumberFormat="1" applyFont="1"/>
    <xf numFmtId="1" fontId="2" fillId="0" borderId="15" xfId="0" applyNumberFormat="1" applyFont="1" applyBorder="1"/>
    <xf numFmtId="1" fontId="2" fillId="0" borderId="18" xfId="0" applyNumberFormat="1" applyFont="1" applyBorder="1"/>
    <xf numFmtId="0" fontId="5" fillId="2" borderId="5" xfId="0" applyFont="1" applyFill="1" applyBorder="1" applyAlignment="1">
      <alignment horizontal="left"/>
    </xf>
    <xf numFmtId="1" fontId="5" fillId="2" borderId="8" xfId="0" applyNumberFormat="1" applyFont="1" applyFill="1" applyBorder="1"/>
    <xf numFmtId="1" fontId="7" fillId="0" borderId="4" xfId="0" applyNumberFormat="1" applyFont="1" applyBorder="1"/>
    <xf numFmtId="164" fontId="7" fillId="0" borderId="6" xfId="0" applyNumberFormat="1" applyFont="1" applyBorder="1"/>
    <xf numFmtId="0" fontId="4" fillId="2" borderId="5" xfId="0" applyFont="1" applyFill="1" applyBorder="1" applyAlignment="1">
      <alignment horizontal="right" wrapText="1"/>
    </xf>
    <xf numFmtId="0" fontId="0" fillId="0" borderId="20" xfId="0" applyBorder="1"/>
    <xf numFmtId="0" fontId="8" fillId="0" borderId="19" xfId="0" applyFont="1" applyBorder="1" applyAlignment="1">
      <alignment horizontal="center"/>
    </xf>
    <xf numFmtId="0" fontId="0" fillId="0" borderId="21" xfId="0" applyBorder="1"/>
    <xf numFmtId="164" fontId="0" fillId="0" borderId="20" xfId="0" applyNumberFormat="1" applyBorder="1"/>
    <xf numFmtId="1" fontId="0" fillId="0" borderId="21" xfId="0" applyNumberFormat="1" applyBorder="1"/>
    <xf numFmtId="1" fontId="0" fillId="0" borderId="20" xfId="0" applyNumberFormat="1" applyBorder="1"/>
    <xf numFmtId="1" fontId="0" fillId="0" borderId="0" xfId="0" applyNumberFormat="1"/>
    <xf numFmtId="164" fontId="0" fillId="0" borderId="0" xfId="0" applyNumberFormat="1"/>
    <xf numFmtId="1" fontId="0" fillId="0" borderId="8" xfId="0" applyNumberFormat="1" applyBorder="1"/>
    <xf numFmtId="0" fontId="9" fillId="3" borderId="22" xfId="0" applyFont="1" applyFill="1" applyBorder="1" applyAlignment="1">
      <alignment horizontal="left"/>
    </xf>
    <xf numFmtId="0" fontId="9" fillId="3" borderId="7" xfId="0" applyFont="1" applyFill="1" applyBorder="1" applyAlignment="1">
      <alignment horizontal="left"/>
    </xf>
    <xf numFmtId="0" fontId="0" fillId="0" borderId="23" xfId="0" applyBorder="1"/>
    <xf numFmtId="0" fontId="10" fillId="4" borderId="0" xfId="0" applyFont="1" applyFill="1" applyAlignment="1">
      <alignment horizontal="left"/>
    </xf>
    <xf numFmtId="0" fontId="8" fillId="4" borderId="23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right"/>
    </xf>
    <xf numFmtId="0" fontId="11" fillId="3" borderId="22" xfId="0" applyFont="1" applyFill="1" applyBorder="1" applyAlignment="1">
      <alignment horizontal="right"/>
    </xf>
    <xf numFmtId="1" fontId="0" fillId="5" borderId="0" xfId="0" applyNumberFormat="1" applyFill="1"/>
    <xf numFmtId="0" fontId="1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2" fillId="0" borderId="0" xfId="0" applyFont="1"/>
    <xf numFmtId="0" fontId="3" fillId="2" borderId="1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5" xfId="0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</cellXfs>
  <cellStyles count="1">
    <cellStyle name="Normal" xfId="0" builtinId="0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258478</xdr:colOff>
      <xdr:row>10</xdr:row>
      <xdr:rowOff>129629</xdr:rowOff>
    </xdr:from>
    <xdr:to>
      <xdr:col>5</xdr:col>
      <xdr:colOff>107893</xdr:colOff>
      <xdr:row>17</xdr:row>
      <xdr:rowOff>41609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F489AC4-A1FD-E365-BC8A-08CACCA341FA}"/>
                </a:ext>
              </a:extLst>
            </xdr14:cNvPr>
            <xdr14:cNvContentPartPr/>
          </xdr14:nvContentPartPr>
          <xdr14:nvPr macro=""/>
          <xdr14:xfrm>
            <a:off x="4060440" y="1672920"/>
            <a:ext cx="862200" cy="11016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F489AC4-A1FD-E365-BC8A-08CACCA341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1800" y="1664280"/>
              <a:ext cx="879840" cy="11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89794</xdr:colOff>
      <xdr:row>12</xdr:row>
      <xdr:rowOff>128646</xdr:rowOff>
    </xdr:from>
    <xdr:to>
      <xdr:col>7</xdr:col>
      <xdr:colOff>389484</xdr:colOff>
      <xdr:row>14</xdr:row>
      <xdr:rowOff>51331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ECFFC07-BF16-43B5-360D-6D447F0A005E}"/>
                </a:ext>
              </a:extLst>
            </xdr14:cNvPr>
            <xdr14:cNvContentPartPr/>
          </xdr14:nvContentPartPr>
          <xdr14:nvPr macro=""/>
          <xdr14:xfrm>
            <a:off x="5917326" y="2009532"/>
            <a:ext cx="974880" cy="26028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ECFFC07-BF16-43B5-360D-6D447F0A005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881686" y="1973892"/>
              <a:ext cx="1046520" cy="33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375118</xdr:colOff>
      <xdr:row>13</xdr:row>
      <xdr:rowOff>97716</xdr:rowOff>
    </xdr:from>
    <xdr:to>
      <xdr:col>4</xdr:col>
      <xdr:colOff>996478</xdr:colOff>
      <xdr:row>13</xdr:row>
      <xdr:rowOff>112836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2277A85-3197-C9E5-4837-F886E358144A}"/>
                </a:ext>
              </a:extLst>
            </xdr14:cNvPr>
            <xdr14:cNvContentPartPr/>
          </xdr14:nvContentPartPr>
          <xdr14:nvPr macro=""/>
          <xdr14:xfrm>
            <a:off x="4177080" y="2147400"/>
            <a:ext cx="621360" cy="151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2277A85-3197-C9E5-4837-F886E358144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123080" y="2039760"/>
              <a:ext cx="729000" cy="230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8T20:14:31.4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1800 75 24575,'-15'0'0,"-14"0"0,-15 0 0,-14 0 0,-17 0 0,0 0 0,0 0 0,4 0 0,14 0 0,6 0 0,2 0 0,2 0 0,-3 0 0,0 0 0,0 0 0,-4 0 0,1 0 0,-3 0 0,2 2 0,8 3 0,2 2 0,13 5 0,2 2 0,3 3 0,2 2 0,-1 0 0,4-1 0,1-2 0,2 0 0,-1 2 0,0 2 0,-2 3 0,2 1 0,-1 1 0,0 3 0,-1 0 0,2 4 0,0 0 0,-1 4 0,-1 5 0,-3 5 0,0-1 0,5-3 0,0 0 0,4 3 0,-3 7 0,-3 5 0,-3 4 0,-2 1 0,2-4 0,0-2 0,5-7 0,5-6 0,4-5 0,7-8 0,3-5 0,0-5 0,0 0 0,0-1 0,0 3 0,0 4 0,0 7 0,0 9 0,0 10 0,0 3 0,2 2 0,4-2 0,3-3 0,3 0 0,0-5 0,-1-5 0,0-6 0,0-5 0,-1-3 0,3-1 0,3 0 0,3 4 0,3 4 0,4 6 0,2 6 0,2 1 0,-1 4 0,-2-1 0,-1 1 0,-1-1 0,3-3 0,0-6 0,-2-5 0,-4-7 0,-4-3 0,-1-3 0,3-1 0,2 2 0,3-1 0,1 0 0,0 2 0,4-1 0,0 0 0,3 0 0,0 1 0,1-2 0,4-1 0,0 0 0,-3-6 0,-3-2 0,-1-1 0,0-2 0,5 2 0,4 0 0,1-2 0,3-2 0,-1-1 0,3-2 0,0-4 0,1 0 0,0-3 0,-2 0 0,-4 0 0,-5 0 0,-2 0 0,0-2 0,2-3 0,1-2 0,0-5 0,-3-1 0,-1-2 0,-5-2 0,-4 2 0,-4-4 0,-4-1 0,0 1 0,-1-5 0,-1-1 0,3-3 0,0-2 0,5-4 0,5-8 0,4-6 0,6-6 0,1-3 0,2 0 0,3-1 0,-3 4 0,-6 6 0,-6 8 0,-5 6 0,-4 1 0,-1 4 0,-1 2 0,-2 3 0,-3 5 0,-1 1 0,-4 3 0,1-1 0,-2-1 0,-1 0 0,-2-1 0,-2-2 0,-1-4 0,0-4 0,0-8 0,0-5 0,0-10 0,0-21 0,0-15 0,0-3 0,0 7 0,3 10 0,1-2 0,0-7 0,0-4 0,-4 10 0,1 10 0,-1 7 0,0 9 0,0 3 0,-2 4 0,-6 5 0,-3 2 0,-5 1 0,-1 2 0,0-2 0,-2-3 0,2 1 0,-3-6 0,-1 2 0,-2-2 0,0 2 0,2 2 0,1 2 0,1 4 0,2 0 0,-1 1 0,2 0 0,1 3 0,0 5 0,4 6 0,0 5 0,2 0 0,-2 2 0,1 0 0,-1 2 0,2 3 0,1 0 0,1 1 0,0-2 0,0 0 0,0-2 0,0-1 0,0 1 0,-1 0 0,2 2 0,0 1 0,-2 0 0,0 0 0,0 1 0,-2 0 0,1 3 0,-1 1 0,1 1 0,-1 0 0,3 0 0,0 0 0,0 0 0,0 0 0,1 0 0,1 0 0,-1 1 0,0 1 0,2 2 0,-1 1 0,1 0 0,1-1 0,-1 2 0,1-1 0,-1 0 0,2-1 0,1 1 0,0 2 0,1 0 0,0-4 0,0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8T20:15:21.422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2708 263 24575,'-46'0'0,"-1"0"0,2 0 0,-7 0 0,1 0 0,-9 0 0,2 0 0,11 0 0,8 0 0,-5 0 0,-3 0 0,-3 0 0,-4 0 0,-2 0 0,-6 0 0,-4 0 0,-2 0 0,0 0 0,-5 3 0,0 1 0,6 2 0,3 1 0,8-4 0,7 0 0,1-1 0,4 1 0,-3 2 0,1 0 0,0-1 0,3-2 0,1-1 0,0-1 0,7 0 0,1 0 0,2 0 0,3 0 0,-2 0 0,3 0 0,1 0 0,-3 0 0,-3 2 0,-6 0 0,-1 1 0,2 1 0,1-1 0,3 0 0,1 0 0,4-3 0,3 0 0,5 0 0,3 0 0,1 0 0,3 0 0,2 0 0,1 0 0,1 0 0,-1 0 0,-1 0 0,-3 0 0,3 0 0,-1 0 0,1 0 0,0 0 0,-1 0 0,1 0 0,0 0 0,3 0 0,-1 0 0,1 0 0,1 0 0,-2 0 0,-1 0 0,0 0 0,0 0 0,1 0 0,0 0 0,1 0 0,1 0 0,1 0 0,0 0 0,0 0 0,1 0 0,-1 0 0,1 0 0,0 0 0,1 0 0,-1 0 0,0-1 0,1-1 0,1-3 0,2 0 0,1-2 0,0 1 0,1 0 0,2-2 0,3 0 0,2-3 0,5-2 0,2 0 0,1 0 0,4 1 0,3-1 0,-1 1 0,0 0 0,-5 0 0,-1 1 0,-1-2 0,-1 0 0,0 4 0,-3-1 0,1 1 0,0-1 0,0 1 0,0 0 0,-1 2 0,0-1 0,2 0 0,-2 1 0,-1-1 0,1 2 0,-4 1 0,1 2 0,0 0 0,-2-1 0,1 2 0,0 1 0,-1 0 0,2-2 0,-3-2 0,-1 1 0,-14 1 0,-5 3 0,-10 7 0,2 5 0,-2 7 0,-1 8 0,-2 0 0,1 0 0,2-4 0,4-4 0,2-2 0,1 1 0,1-3 0,5-2 0,2-3 0,3-2 0,0-1 0,1 0 0,2 0 0,0 0 0,0 0 0,1-1 0,-1 1 0,1-1 0,0 0 0,2-1 0,-1-1 0,1 1 0,0 0 0,1 0 0,-1 0 0,0 0 0,0 0 0,-1 1 0,1 0 0,-1-1 0,0-1 0,0 1 0,0-1 0,0 1 0,0 1 0,1-1 0,1 1 0,1 0 0,0 0 0,0 0 0,0 0 0,1 0 0,1-1 0,4 1 0,5 1 0,0 1 0,3 0 0,0 0 0,1 1 0,0-1 0,0 0 0,-3 0 0,1 0 0,-1-1 0,-3 0 0,-1 0 0,-2-2 0,1 1 0,2 1 0,0 0 0,0 0 0,-2 0 0,0-1 0,0 1 0,-2 0 0,0 0 0,0-1 0,1 1 0,-1 0 0,0-1 0,-2 1 0,0-1 0,-1-1 0,1 1 0,1 0 0,0 1 0,-1-1 0,0 1 0,-1-1 0,1 1 0,1-1 0,-2 0 0,0-1 0,1 1 0,0-1 0,2 0 0,-2-1 0,-1-1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4-08T20:17:18.90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6,'54'-3,"2"1,-15 2,4 0,-4 0,0 0,-6 0,-2 0,0 0,-5 0,-2 0,-6 0,-2 0,-3 0,6 0,2 0,2 0,2 0,-1 0,-1 0,-1 0,-1 0,-2 0,0 0,-4 0,-3 0,5 0,-4 0,2 0,0 0,-1 0,0 0,2 0,-3 0,3 0,-1 0,1 0,-1 0,0 0,0 0,-2 0,7 0,-5 0,4 0,-6 0,-1 0,5 0,-3 0,2 0,-4 0,4 0,0 0,2 0,-6 0,5 0,-5 0,6 0,-5 0,0 0,7 0,-4 0,4 0,-7 0,0 0,-1 2,6 0,-5 0,3 2,-5-2,6 0,-7 1,8-1,-6 0,0 0,6-1,-5 0,1 1,3 0,-7 0,4-1,1 3,-4-2,6-1,-5 1</inkml:trace>
</inkml: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ph Korman" refreshedDate="45755.672450115744" createdVersion="8" refreshedVersion="8" minRefreshableVersion="3" recordCount="2" xr:uid="{9F8203C3-3B86-404B-ABC1-BACFB340CC88}">
  <cacheSource type="scenario"/>
  <cacheFields count="7">
    <cacheField name="$B$9:$D$9,$B$16:$B$17" numFmtId="0">
      <sharedItems containsNonDate="0" count="2">
        <s v="Shipment 1"/>
        <s v="Shipment 2"/>
      </sharedItems>
    </cacheField>
    <cacheField name="$B$9:$D$9,$B$16:$B$17 by" numFmtId="0">
      <sharedItems containsNonDate="0" count="1">
        <s v="Joseph Korman"/>
      </sharedItems>
    </cacheField>
    <cacheField name="res Total_Volume" numFmtId="0">
      <sharedItems containsSemiMixedTypes="0" containsNonDate="0" containsString="0" containsNumber="1" containsInteger="1" minValue="275" maxValue="345" count="2">
        <n v="345"/>
        <n v="275"/>
      </sharedItems>
    </cacheField>
    <cacheField name="res Total_Weight" numFmtId="0">
      <sharedItems containsSemiMixedTypes="0" containsNonDate="0" containsString="0" containsNumber="1" containsInteger="1" minValue="445" maxValue="598" count="2">
        <n v="598"/>
        <n v="445"/>
      </sharedItems>
    </cacheField>
    <cacheField name="res Total_Profit" numFmtId="0">
      <sharedItems containsSemiMixedTypes="0" containsNonDate="0" containsString="0" containsNumber="1" containsInteger="1" minValue="2365" maxValue="2771" count="2">
        <n v="2771"/>
        <n v="2365"/>
      </sharedItems>
    </cacheField>
    <cacheField name="res Truck_Volume" numFmtId="0">
      <sharedItems containsSemiMixedTypes="0" containsNonDate="0" containsString="0" containsNumber="1" containsInteger="1" minValue="300" maxValue="400" count="2">
        <n v="400"/>
        <n v="300"/>
      </sharedItems>
    </cacheField>
    <cacheField name="res Truck_Weight" numFmtId="0">
      <sharedItems containsSemiMixedTypes="0" containsNonDate="0" containsString="0" containsNumber="1" containsInteger="1" minValue="450" maxValue="600" count="2">
        <n v="600"/>
        <n v="4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4F44B-DA22-4E63-964E-CFCE58612450}" name="PivotTable1" cacheId="0" applyNumberFormats="0" applyBorderFormats="0" applyFontFormats="0" applyPatternFormats="0" applyAlignmentFormats="0" applyWidthHeightFormats="1" dataCaption="Result Cells" updatedVersion="8" minRefreshableVersion="3" useAutoFormatting="1" rowGrandTotals="0" colGrandTotals="0" itemPrintTitles="1" createdVersion="8" indent="0" outline="1" outlineData="1" multipleFieldFilters="0" fieldListSortAscending="1">
  <location ref="A3:F5" firstHeaderRow="0" firstDataRow="1" firstDataCol="1" rowPageCount="1" colPageCount="1"/>
  <pivotFields count="7">
    <pivotField axis="axisRow" showAll="0" defaultSubtotal="0">
      <items count="2">
        <item x="0"/>
        <item x="1"/>
      </items>
    </pivotField>
    <pivotField axis="axisPage" showAll="0">
      <items count="2"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">
    <i>
      <x/>
    </i>
    <i>
      <x v="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Total_Volume" fld="2" baseField="0" baseItem="0"/>
    <dataField name="Total_Weight" fld="3" baseField="0" baseItem="0"/>
    <dataField name="Total_Profit" fld="4" baseField="0" baseItem="0" numFmtId="44"/>
    <dataField name="Truck_Volume" fld="5" baseField="0" baseItem="0"/>
    <dataField name="Truck_Weight" fld="6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rop">
  <a:themeElements>
    <a:clrScheme name="Crop">
      <a:dk1>
        <a:sysClr val="windowText" lastClr="000000"/>
      </a:dk1>
      <a:lt1>
        <a:sysClr val="window" lastClr="FFFFFF"/>
      </a:lt1>
      <a:dk2>
        <a:srgbClr val="191B0E"/>
      </a:dk2>
      <a:lt2>
        <a:srgbClr val="EFEDE3"/>
      </a:lt2>
      <a:accent1>
        <a:srgbClr val="8C8D86"/>
      </a:accent1>
      <a:accent2>
        <a:srgbClr val="E6C069"/>
      </a:accent2>
      <a:accent3>
        <a:srgbClr val="897B61"/>
      </a:accent3>
      <a:accent4>
        <a:srgbClr val="8DAB8E"/>
      </a:accent4>
      <a:accent5>
        <a:srgbClr val="77A2BB"/>
      </a:accent5>
      <a:accent6>
        <a:srgbClr val="E28394"/>
      </a:accent6>
      <a:hlink>
        <a:srgbClr val="77A2BB"/>
      </a:hlink>
      <a:folHlink>
        <a:srgbClr val="957A99"/>
      </a:folHlink>
    </a:clrScheme>
    <a:fontScheme name="Crop">
      <a:majorFont>
        <a:latin typeface="Franklin Gothic Book" panose="020B0503020102020204"/>
        <a:ea typeface=""/>
        <a:cs typeface=""/>
        <a:font script="Jpan" typeface="メイリオ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メイリオ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Crop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rop" id="{EC9488ED-E761-4D60-9AC4-764D1FE2C171}" vid="{CE19780C-D67D-4C13-9DE9-A52BC3BA51B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E18"/>
  <sheetViews>
    <sheetView topLeftCell="B7" zoomScale="225" zoomScaleNormal="100" workbookViewId="0">
      <selection activeCell="E11" sqref="E11"/>
    </sheetView>
  </sheetViews>
  <sheetFormatPr baseColWidth="10" defaultColWidth="8.83203125" defaultRowHeight="13" x14ac:dyDescent="0.15"/>
  <cols>
    <col min="1" max="1" width="27.6640625" bestFit="1" customWidth="1"/>
    <col min="2" max="5" width="16.5" customWidth="1"/>
    <col min="6" max="6" width="13.83203125" customWidth="1"/>
  </cols>
  <sheetData>
    <row r="1" spans="1:5" ht="32.25" customHeight="1" thickTop="1" x14ac:dyDescent="0.25">
      <c r="A1" s="45" t="s">
        <v>13</v>
      </c>
      <c r="B1" s="46"/>
      <c r="C1" s="46"/>
      <c r="D1" s="46"/>
      <c r="E1" s="47"/>
    </row>
    <row r="2" spans="1:5" ht="23.25" customHeight="1" thickBot="1" x14ac:dyDescent="0.3">
      <c r="A2" s="48" t="s">
        <v>14</v>
      </c>
      <c r="B2" s="49"/>
      <c r="C2" s="49"/>
      <c r="D2" s="49"/>
      <c r="E2" s="50"/>
    </row>
    <row r="3" spans="1:5" ht="14" thickBot="1" x14ac:dyDescent="0.2">
      <c r="A3" s="1"/>
      <c r="B3" s="13" t="s">
        <v>7</v>
      </c>
      <c r="C3" s="13" t="s">
        <v>15</v>
      </c>
      <c r="D3" s="13" t="s">
        <v>12</v>
      </c>
      <c r="E3" s="2"/>
    </row>
    <row r="4" spans="1:5" x14ac:dyDescent="0.15">
      <c r="A4" s="3" t="s">
        <v>4</v>
      </c>
      <c r="B4" s="14">
        <v>3</v>
      </c>
      <c r="C4" s="14">
        <v>11</v>
      </c>
      <c r="D4" s="14">
        <v>7</v>
      </c>
      <c r="E4" s="5"/>
    </row>
    <row r="5" spans="1:5" x14ac:dyDescent="0.15">
      <c r="A5" s="3" t="s">
        <v>5</v>
      </c>
      <c r="B5" s="14">
        <v>5</v>
      </c>
      <c r="C5" s="14">
        <v>23</v>
      </c>
      <c r="D5" s="14">
        <v>8</v>
      </c>
      <c r="E5" s="5"/>
    </row>
    <row r="6" spans="1:5" x14ac:dyDescent="0.15">
      <c r="A6" s="3" t="s">
        <v>1</v>
      </c>
      <c r="B6" s="6">
        <v>31</v>
      </c>
      <c r="C6" s="6">
        <v>65</v>
      </c>
      <c r="D6" s="6">
        <v>49</v>
      </c>
      <c r="E6" s="5"/>
    </row>
    <row r="7" spans="1:5" x14ac:dyDescent="0.15">
      <c r="A7" s="3" t="s">
        <v>16</v>
      </c>
      <c r="B7" s="14">
        <v>50</v>
      </c>
      <c r="C7" s="14">
        <v>20</v>
      </c>
      <c r="D7" s="14">
        <v>10</v>
      </c>
      <c r="E7" s="5"/>
    </row>
    <row r="8" spans="1:5" ht="17.25" customHeight="1" x14ac:dyDescent="0.15">
      <c r="A8" s="3"/>
      <c r="B8" s="4"/>
      <c r="C8" s="4"/>
      <c r="D8" s="4"/>
      <c r="E8" s="5"/>
    </row>
    <row r="9" spans="1:5" ht="22.5" customHeight="1" thickBot="1" x14ac:dyDescent="0.25">
      <c r="A9" s="17" t="s">
        <v>2</v>
      </c>
      <c r="B9" s="18">
        <v>50</v>
      </c>
      <c r="C9" s="18">
        <v>12</v>
      </c>
      <c r="D9" s="18">
        <v>9</v>
      </c>
      <c r="E9" s="7"/>
    </row>
    <row r="10" spans="1:5" ht="40.5" customHeight="1" thickBot="1" x14ac:dyDescent="0.2">
      <c r="A10" s="1"/>
      <c r="B10" s="8"/>
      <c r="C10" s="8"/>
      <c r="D10" s="8"/>
      <c r="E10" s="21" t="s">
        <v>0</v>
      </c>
    </row>
    <row r="11" spans="1:5" x14ac:dyDescent="0.15">
      <c r="A11" s="3" t="s">
        <v>3</v>
      </c>
      <c r="B11" s="14">
        <f>Guitars_to_Ship*B4</f>
        <v>150</v>
      </c>
      <c r="C11" s="14">
        <f>Drum_Sets_to_Ship*C4</f>
        <v>132</v>
      </c>
      <c r="D11" s="14">
        <f>Keyboards_to_Ship*D4</f>
        <v>63</v>
      </c>
      <c r="E11" s="19">
        <f>SUM(B11:D11)</f>
        <v>345</v>
      </c>
    </row>
    <row r="12" spans="1:5" x14ac:dyDescent="0.15">
      <c r="A12" s="3" t="s">
        <v>10</v>
      </c>
      <c r="B12" s="14">
        <f>B9*B5</f>
        <v>250</v>
      </c>
      <c r="C12" s="14">
        <f>C9*C5</f>
        <v>276</v>
      </c>
      <c r="D12" s="14">
        <f>D9*D5</f>
        <v>72</v>
      </c>
      <c r="E12" s="19">
        <f>SUM(B12:D12)</f>
        <v>598</v>
      </c>
    </row>
    <row r="13" spans="1:5" ht="12.75" customHeight="1" thickBot="1" x14ac:dyDescent="0.2">
      <c r="A13" s="9" t="s">
        <v>11</v>
      </c>
      <c r="B13" s="10">
        <f>B6*B9</f>
        <v>1550</v>
      </c>
      <c r="C13" s="10">
        <f>C6*C9</f>
        <v>780</v>
      </c>
      <c r="D13" s="10">
        <f>D6*D9</f>
        <v>441</v>
      </c>
      <c r="E13" s="20">
        <f>SUM(B13:D13)</f>
        <v>2771</v>
      </c>
    </row>
    <row r="14" spans="1:5" ht="14" thickBot="1" x14ac:dyDescent="0.2"/>
    <row r="15" spans="1:5" ht="21.75" customHeight="1" thickTop="1" thickBot="1" x14ac:dyDescent="0.25">
      <c r="A15" s="51" t="s">
        <v>6</v>
      </c>
      <c r="B15" s="52"/>
    </row>
    <row r="16" spans="1:5" x14ac:dyDescent="0.15">
      <c r="A16" s="11" t="s">
        <v>8</v>
      </c>
      <c r="B16" s="15">
        <v>400</v>
      </c>
    </row>
    <row r="17" spans="1:2" ht="14" thickBot="1" x14ac:dyDescent="0.2">
      <c r="A17" s="12" t="s">
        <v>9</v>
      </c>
      <c r="B17" s="16">
        <v>600</v>
      </c>
    </row>
    <row r="18" spans="1:2" ht="14" thickTop="1" x14ac:dyDescent="0.15"/>
  </sheetData>
  <scenarios current="0" show="0" sqref="E11:E13 B16:B17">
    <scenario name="Shipment 1" locked="1" count="5" user="Joseph Korman" comment="Created by Joseph Korman on 4/8/2025">
      <inputCells r="B9" val="50" numFmtId="1"/>
      <inputCells r="C9" val="12" numFmtId="1"/>
      <inputCells r="D9" val="9" numFmtId="1"/>
      <inputCells r="B16" val="400" numFmtId="1"/>
      <inputCells r="B17" val="600" numFmtId="1"/>
    </scenario>
    <scenario name="Shipment 2" locked="1" count="5" user="Joseph Korman" comment="Created by Joseph Korman on 4/8/2025">
      <inputCells r="B9" val="50" numFmtId="1"/>
      <inputCells r="C9" val="5" numFmtId="1"/>
      <inputCells r="D9" val="10" numFmtId="1"/>
      <inputCells r="B16" val="300" numFmtId="1"/>
      <inputCells r="B17" val="450" numFmtId="1"/>
    </scenario>
  </scenarios>
  <mergeCells count="3">
    <mergeCell ref="A1:E1"/>
    <mergeCell ref="A2:E2"/>
    <mergeCell ref="A15:B15"/>
  </mergeCells>
  <phoneticPr fontId="1" type="noConversion"/>
  <dataValidations count="1">
    <dataValidation type="whole" allowBlank="1" showInputMessage="1" showErrorMessage="1" errorTitle="Input Error" error="You must enter a whole number that is greater than zero and less than or equal to the quantity in stock." promptTitle="Item to Ship" prompt="Enter the number of items to include in this shipment. The number must be greater than zero and less than or equal to the quantity in stock." sqref="B9:D9" xr:uid="{CA704621-1D35-4346-A854-CF3D06897760}">
      <formula1>1</formula1>
      <formula2>B7</formula2>
    </dataValidation>
  </dataValidation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E98A-C3F2-4385-B05B-FCAFC5415CD5}">
  <sheetPr>
    <tabColor theme="5"/>
  </sheetPr>
  <dimension ref="A1:G36"/>
  <sheetViews>
    <sheetView showGridLines="0" workbookViewId="0"/>
  </sheetViews>
  <sheetFormatPr baseColWidth="10" defaultColWidth="8.83203125" defaultRowHeight="13" x14ac:dyDescent="0.15"/>
  <cols>
    <col min="1" max="1" width="2.33203125" customWidth="1"/>
    <col min="2" max="2" width="17" bestFit="1" customWidth="1"/>
    <col min="3" max="3" width="17.83203125" bestFit="1" customWidth="1"/>
    <col min="4" max="4" width="14.33203125" bestFit="1" customWidth="1"/>
    <col min="5" max="5" width="14" bestFit="1" customWidth="1"/>
    <col min="6" max="6" width="10.5" bestFit="1" customWidth="1"/>
    <col min="7" max="7" width="6" bestFit="1" customWidth="1"/>
  </cols>
  <sheetData>
    <row r="1" spans="1:5" x14ac:dyDescent="0.15">
      <c r="A1" s="4" t="s">
        <v>17</v>
      </c>
    </row>
    <row r="2" spans="1:5" x14ac:dyDescent="0.15">
      <c r="A2" s="4" t="s">
        <v>18</v>
      </c>
    </row>
    <row r="3" spans="1:5" x14ac:dyDescent="0.15">
      <c r="A3" s="4" t="s">
        <v>19</v>
      </c>
    </row>
    <row r="4" spans="1:5" x14ac:dyDescent="0.15">
      <c r="A4" s="4" t="s">
        <v>20</v>
      </c>
    </row>
    <row r="5" spans="1:5" x14ac:dyDescent="0.15">
      <c r="A5" s="4" t="s">
        <v>21</v>
      </c>
    </row>
    <row r="6" spans="1:5" x14ac:dyDescent="0.15">
      <c r="A6" s="4"/>
      <c r="B6" t="s">
        <v>22</v>
      </c>
    </row>
    <row r="7" spans="1:5" x14ac:dyDescent="0.15">
      <c r="A7" s="4"/>
      <c r="B7" t="s">
        <v>23</v>
      </c>
    </row>
    <row r="8" spans="1:5" x14ac:dyDescent="0.15">
      <c r="A8" s="4"/>
      <c r="B8" t="s">
        <v>24</v>
      </c>
    </row>
    <row r="9" spans="1:5" x14ac:dyDescent="0.15">
      <c r="A9" s="4" t="s">
        <v>25</v>
      </c>
    </row>
    <row r="10" spans="1:5" x14ac:dyDescent="0.15">
      <c r="B10" t="s">
        <v>26</v>
      </c>
    </row>
    <row r="11" spans="1:5" x14ac:dyDescent="0.15">
      <c r="B11" t="s">
        <v>27</v>
      </c>
    </row>
    <row r="14" spans="1:5" ht="14" thickBot="1" x14ac:dyDescent="0.2">
      <c r="A14" t="s">
        <v>28</v>
      </c>
    </row>
    <row r="15" spans="1:5" ht="14" thickBot="1" x14ac:dyDescent="0.2">
      <c r="B15" s="23" t="s">
        <v>29</v>
      </c>
      <c r="C15" s="23" t="s">
        <v>30</v>
      </c>
      <c r="D15" s="23" t="s">
        <v>31</v>
      </c>
      <c r="E15" s="23" t="s">
        <v>32</v>
      </c>
    </row>
    <row r="16" spans="1:5" ht="14" thickBot="1" x14ac:dyDescent="0.2">
      <c r="B16" s="22" t="s">
        <v>40</v>
      </c>
      <c r="C16" s="22" t="s">
        <v>41</v>
      </c>
      <c r="D16" s="25">
        <v>2934</v>
      </c>
      <c r="E16" s="25">
        <v>2771</v>
      </c>
    </row>
    <row r="19" spans="1:7" ht="14" thickBot="1" x14ac:dyDescent="0.2">
      <c r="A19" t="s">
        <v>33</v>
      </c>
    </row>
    <row r="20" spans="1:7" ht="14" thickBot="1" x14ac:dyDescent="0.2">
      <c r="B20" s="23" t="s">
        <v>29</v>
      </c>
      <c r="C20" s="23" t="s">
        <v>30</v>
      </c>
      <c r="D20" s="23" t="s">
        <v>31</v>
      </c>
      <c r="E20" s="23" t="s">
        <v>32</v>
      </c>
      <c r="F20" s="23" t="s">
        <v>34</v>
      </c>
    </row>
    <row r="21" spans="1:7" x14ac:dyDescent="0.15">
      <c r="B21" s="24" t="s">
        <v>42</v>
      </c>
      <c r="C21" s="24" t="s">
        <v>43</v>
      </c>
      <c r="D21" s="26">
        <v>35</v>
      </c>
      <c r="E21" s="26">
        <v>50</v>
      </c>
      <c r="F21" s="24" t="s">
        <v>34</v>
      </c>
    </row>
    <row r="22" spans="1:7" x14ac:dyDescent="0.15">
      <c r="B22" s="24" t="s">
        <v>44</v>
      </c>
      <c r="C22" s="24" t="s">
        <v>45</v>
      </c>
      <c r="D22" s="26">
        <v>18</v>
      </c>
      <c r="E22" s="26">
        <v>12</v>
      </c>
      <c r="F22" s="24" t="s">
        <v>34</v>
      </c>
    </row>
    <row r="23" spans="1:7" ht="14" thickBot="1" x14ac:dyDescent="0.2">
      <c r="B23" s="22" t="s">
        <v>46</v>
      </c>
      <c r="C23" s="22" t="s">
        <v>47</v>
      </c>
      <c r="D23" s="27">
        <v>13.857142857142865</v>
      </c>
      <c r="E23" s="27">
        <v>9</v>
      </c>
      <c r="F23" s="22" t="s">
        <v>34</v>
      </c>
    </row>
    <row r="26" spans="1:7" ht="14" thickBot="1" x14ac:dyDescent="0.2">
      <c r="A26" t="s">
        <v>35</v>
      </c>
    </row>
    <row r="27" spans="1:7" ht="14" thickBot="1" x14ac:dyDescent="0.2">
      <c r="B27" s="23" t="s">
        <v>29</v>
      </c>
      <c r="C27" s="23" t="s">
        <v>30</v>
      </c>
      <c r="D27" s="23" t="s">
        <v>36</v>
      </c>
      <c r="E27" s="23" t="s">
        <v>37</v>
      </c>
      <c r="F27" s="23" t="s">
        <v>38</v>
      </c>
      <c r="G27" s="23" t="s">
        <v>39</v>
      </c>
    </row>
    <row r="28" spans="1:7" x14ac:dyDescent="0.15">
      <c r="B28" s="24" t="s">
        <v>48</v>
      </c>
      <c r="C28" s="24" t="s">
        <v>49</v>
      </c>
      <c r="D28" s="26">
        <v>345</v>
      </c>
      <c r="E28" s="24" t="s">
        <v>50</v>
      </c>
      <c r="F28" s="24" t="s">
        <v>51</v>
      </c>
      <c r="G28" s="24">
        <v>55</v>
      </c>
    </row>
    <row r="29" spans="1:7" x14ac:dyDescent="0.15">
      <c r="B29" s="24" t="s">
        <v>52</v>
      </c>
      <c r="C29" s="24" t="s">
        <v>53</v>
      </c>
      <c r="D29" s="26">
        <v>598</v>
      </c>
      <c r="E29" s="24" t="s">
        <v>54</v>
      </c>
      <c r="F29" s="24" t="s">
        <v>51</v>
      </c>
      <c r="G29" s="24">
        <v>2</v>
      </c>
    </row>
    <row r="30" spans="1:7" x14ac:dyDescent="0.15">
      <c r="B30" s="24" t="s">
        <v>42</v>
      </c>
      <c r="C30" s="24" t="s">
        <v>43</v>
      </c>
      <c r="D30" s="26">
        <v>50</v>
      </c>
      <c r="E30" s="24" t="s">
        <v>55</v>
      </c>
      <c r="F30" s="24" t="s">
        <v>51</v>
      </c>
      <c r="G30" s="26">
        <v>2</v>
      </c>
    </row>
    <row r="31" spans="1:7" x14ac:dyDescent="0.15">
      <c r="B31" s="24" t="s">
        <v>44</v>
      </c>
      <c r="C31" s="24" t="s">
        <v>45</v>
      </c>
      <c r="D31" s="26">
        <v>12</v>
      </c>
      <c r="E31" s="24" t="s">
        <v>56</v>
      </c>
      <c r="F31" s="24" t="s">
        <v>57</v>
      </c>
      <c r="G31" s="26">
        <v>0</v>
      </c>
    </row>
    <row r="32" spans="1:7" x14ac:dyDescent="0.15">
      <c r="B32" s="24" t="s">
        <v>46</v>
      </c>
      <c r="C32" s="24" t="s">
        <v>47</v>
      </c>
      <c r="D32" s="26">
        <v>9</v>
      </c>
      <c r="E32" s="24" t="s">
        <v>58</v>
      </c>
      <c r="F32" s="24" t="s">
        <v>51</v>
      </c>
      <c r="G32" s="26">
        <v>1</v>
      </c>
    </row>
    <row r="33" spans="2:7" x14ac:dyDescent="0.15">
      <c r="B33" s="24" t="s">
        <v>44</v>
      </c>
      <c r="C33" s="24" t="s">
        <v>45</v>
      </c>
      <c r="D33" s="26">
        <v>12</v>
      </c>
      <c r="E33" s="24" t="s">
        <v>59</v>
      </c>
      <c r="F33" s="24" t="s">
        <v>57</v>
      </c>
      <c r="G33" s="24">
        <v>0</v>
      </c>
    </row>
    <row r="34" spans="2:7" x14ac:dyDescent="0.15">
      <c r="B34" s="24" t="s">
        <v>42</v>
      </c>
      <c r="C34" s="24" t="s">
        <v>43</v>
      </c>
      <c r="D34" s="26">
        <v>50</v>
      </c>
      <c r="E34" s="24" t="s">
        <v>60</v>
      </c>
      <c r="F34" s="24" t="s">
        <v>57</v>
      </c>
      <c r="G34" s="24">
        <v>0</v>
      </c>
    </row>
    <row r="35" spans="2:7" x14ac:dyDescent="0.15">
      <c r="B35" s="24" t="s">
        <v>46</v>
      </c>
      <c r="C35" s="24" t="s">
        <v>47</v>
      </c>
      <c r="D35" s="26">
        <v>9</v>
      </c>
      <c r="E35" s="24" t="s">
        <v>61</v>
      </c>
      <c r="F35" s="24" t="s">
        <v>57</v>
      </c>
      <c r="G35" s="24">
        <v>0</v>
      </c>
    </row>
    <row r="36" spans="2:7" ht="14" thickBot="1" x14ac:dyDescent="0.2">
      <c r="B36" s="22" t="s">
        <v>62</v>
      </c>
      <c r="C36" s="22"/>
      <c r="D36" s="22"/>
      <c r="E36" s="22"/>
      <c r="F36" s="22"/>
      <c r="G36" s="2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B6E4-EB9B-45C9-B877-DEAB64D6D9DB}">
  <sheetPr>
    <tabColor theme="7"/>
  </sheetPr>
  <dimension ref="A1:G36"/>
  <sheetViews>
    <sheetView showGridLines="0" topLeftCell="A4" workbookViewId="0"/>
  </sheetViews>
  <sheetFormatPr baseColWidth="10" defaultColWidth="8.83203125" defaultRowHeight="13" x14ac:dyDescent="0.15"/>
  <cols>
    <col min="1" max="1" width="2.33203125" customWidth="1"/>
    <col min="2" max="2" width="17" bestFit="1" customWidth="1"/>
    <col min="3" max="3" width="17.83203125" bestFit="1" customWidth="1"/>
    <col min="4" max="4" width="14.33203125" bestFit="1" customWidth="1"/>
    <col min="5" max="5" width="14" bestFit="1" customWidth="1"/>
    <col min="6" max="6" width="10.5" bestFit="1" customWidth="1"/>
    <col min="7" max="7" width="6" bestFit="1" customWidth="1"/>
  </cols>
  <sheetData>
    <row r="1" spans="1:5" x14ac:dyDescent="0.15">
      <c r="A1" s="4" t="s">
        <v>17</v>
      </c>
    </row>
    <row r="2" spans="1:5" x14ac:dyDescent="0.15">
      <c r="A2" s="4" t="s">
        <v>18</v>
      </c>
    </row>
    <row r="3" spans="1:5" x14ac:dyDescent="0.15">
      <c r="A3" s="4" t="s">
        <v>63</v>
      </c>
    </row>
    <row r="4" spans="1:5" x14ac:dyDescent="0.15">
      <c r="A4" s="4" t="s">
        <v>20</v>
      </c>
    </row>
    <row r="5" spans="1:5" x14ac:dyDescent="0.15">
      <c r="A5" s="4" t="s">
        <v>21</v>
      </c>
    </row>
    <row r="6" spans="1:5" x14ac:dyDescent="0.15">
      <c r="A6" s="4"/>
      <c r="B6" t="s">
        <v>22</v>
      </c>
    </row>
    <row r="7" spans="1:5" x14ac:dyDescent="0.15">
      <c r="A7" s="4"/>
      <c r="B7" t="s">
        <v>64</v>
      </c>
    </row>
    <row r="8" spans="1:5" x14ac:dyDescent="0.15">
      <c r="A8" s="4"/>
      <c r="B8" t="s">
        <v>65</v>
      </c>
    </row>
    <row r="9" spans="1:5" x14ac:dyDescent="0.15">
      <c r="A9" s="4" t="s">
        <v>25</v>
      </c>
    </row>
    <row r="10" spans="1:5" x14ac:dyDescent="0.15">
      <c r="B10" t="s">
        <v>26</v>
      </c>
    </row>
    <row r="11" spans="1:5" x14ac:dyDescent="0.15">
      <c r="B11" t="s">
        <v>27</v>
      </c>
    </row>
    <row r="14" spans="1:5" ht="14" thickBot="1" x14ac:dyDescent="0.2">
      <c r="A14" t="s">
        <v>28</v>
      </c>
    </row>
    <row r="15" spans="1:5" ht="14" thickBot="1" x14ac:dyDescent="0.2">
      <c r="B15" s="23" t="s">
        <v>29</v>
      </c>
      <c r="C15" s="23" t="s">
        <v>30</v>
      </c>
      <c r="D15" s="23" t="s">
        <v>31</v>
      </c>
      <c r="E15" s="23" t="s">
        <v>32</v>
      </c>
    </row>
    <row r="16" spans="1:5" ht="14" thickBot="1" x14ac:dyDescent="0.2">
      <c r="B16" s="22" t="s">
        <v>40</v>
      </c>
      <c r="C16" s="22" t="s">
        <v>41</v>
      </c>
      <c r="D16" s="25">
        <v>2771</v>
      </c>
      <c r="E16" s="25">
        <v>2365</v>
      </c>
    </row>
    <row r="19" spans="1:7" ht="14" thickBot="1" x14ac:dyDescent="0.2">
      <c r="A19" t="s">
        <v>33</v>
      </c>
    </row>
    <row r="20" spans="1:7" ht="14" thickBot="1" x14ac:dyDescent="0.2">
      <c r="B20" s="23" t="s">
        <v>29</v>
      </c>
      <c r="C20" s="23" t="s">
        <v>30</v>
      </c>
      <c r="D20" s="23" t="s">
        <v>31</v>
      </c>
      <c r="E20" s="23" t="s">
        <v>32</v>
      </c>
      <c r="F20" s="23" t="s">
        <v>34</v>
      </c>
    </row>
    <row r="21" spans="1:7" x14ac:dyDescent="0.15">
      <c r="B21" s="24" t="s">
        <v>42</v>
      </c>
      <c r="C21" s="24" t="s">
        <v>43</v>
      </c>
      <c r="D21" s="26">
        <v>50</v>
      </c>
      <c r="E21" s="26">
        <v>50</v>
      </c>
      <c r="F21" s="24" t="s">
        <v>34</v>
      </c>
    </row>
    <row r="22" spans="1:7" x14ac:dyDescent="0.15">
      <c r="B22" s="24" t="s">
        <v>44</v>
      </c>
      <c r="C22" s="24" t="s">
        <v>45</v>
      </c>
      <c r="D22" s="26">
        <v>12</v>
      </c>
      <c r="E22" s="26">
        <v>5</v>
      </c>
      <c r="F22" s="24" t="s">
        <v>34</v>
      </c>
    </row>
    <row r="23" spans="1:7" ht="14" thickBot="1" x14ac:dyDescent="0.2">
      <c r="B23" s="22" t="s">
        <v>46</v>
      </c>
      <c r="C23" s="22" t="s">
        <v>47</v>
      </c>
      <c r="D23" s="27">
        <v>9</v>
      </c>
      <c r="E23" s="27">
        <v>10</v>
      </c>
      <c r="F23" s="22" t="s">
        <v>34</v>
      </c>
    </row>
    <row r="26" spans="1:7" ht="14" thickBot="1" x14ac:dyDescent="0.2">
      <c r="A26" t="s">
        <v>35</v>
      </c>
    </row>
    <row r="27" spans="1:7" ht="14" thickBot="1" x14ac:dyDescent="0.2">
      <c r="B27" s="23" t="s">
        <v>29</v>
      </c>
      <c r="C27" s="23" t="s">
        <v>30</v>
      </c>
      <c r="D27" s="23" t="s">
        <v>36</v>
      </c>
      <c r="E27" s="23" t="s">
        <v>37</v>
      </c>
      <c r="F27" s="23" t="s">
        <v>38</v>
      </c>
      <c r="G27" s="23" t="s">
        <v>39</v>
      </c>
    </row>
    <row r="28" spans="1:7" x14ac:dyDescent="0.15">
      <c r="B28" s="24" t="s">
        <v>48</v>
      </c>
      <c r="C28" s="24" t="s">
        <v>49</v>
      </c>
      <c r="D28" s="26">
        <v>275</v>
      </c>
      <c r="E28" s="24" t="s">
        <v>50</v>
      </c>
      <c r="F28" s="24" t="s">
        <v>51</v>
      </c>
      <c r="G28" s="24">
        <v>25</v>
      </c>
    </row>
    <row r="29" spans="1:7" x14ac:dyDescent="0.15">
      <c r="B29" s="24" t="s">
        <v>52</v>
      </c>
      <c r="C29" s="24" t="s">
        <v>53</v>
      </c>
      <c r="D29" s="26">
        <v>445</v>
      </c>
      <c r="E29" s="24" t="s">
        <v>54</v>
      </c>
      <c r="F29" s="24" t="s">
        <v>51</v>
      </c>
      <c r="G29" s="24">
        <v>5</v>
      </c>
    </row>
    <row r="30" spans="1:7" x14ac:dyDescent="0.15">
      <c r="B30" s="24" t="s">
        <v>42</v>
      </c>
      <c r="C30" s="24" t="s">
        <v>43</v>
      </c>
      <c r="D30" s="26">
        <v>50</v>
      </c>
      <c r="E30" s="24" t="s">
        <v>55</v>
      </c>
      <c r="F30" s="24" t="s">
        <v>51</v>
      </c>
      <c r="G30" s="26">
        <v>1</v>
      </c>
    </row>
    <row r="31" spans="1:7" x14ac:dyDescent="0.15">
      <c r="B31" s="24" t="s">
        <v>44</v>
      </c>
      <c r="C31" s="24" t="s">
        <v>45</v>
      </c>
      <c r="D31" s="26">
        <v>5</v>
      </c>
      <c r="E31" s="24" t="s">
        <v>56</v>
      </c>
      <c r="F31" s="24" t="s">
        <v>51</v>
      </c>
      <c r="G31" s="26">
        <v>4</v>
      </c>
    </row>
    <row r="32" spans="1:7" x14ac:dyDescent="0.15">
      <c r="B32" s="24" t="s">
        <v>46</v>
      </c>
      <c r="C32" s="24" t="s">
        <v>47</v>
      </c>
      <c r="D32" s="26">
        <v>10</v>
      </c>
      <c r="E32" s="24" t="s">
        <v>58</v>
      </c>
      <c r="F32" s="24" t="s">
        <v>51</v>
      </c>
      <c r="G32" s="26">
        <v>1</v>
      </c>
    </row>
    <row r="33" spans="2:7" x14ac:dyDescent="0.15">
      <c r="B33" s="24" t="s">
        <v>44</v>
      </c>
      <c r="C33" s="24" t="s">
        <v>45</v>
      </c>
      <c r="D33" s="26">
        <v>5</v>
      </c>
      <c r="E33" s="24" t="s">
        <v>59</v>
      </c>
      <c r="F33" s="24" t="s">
        <v>57</v>
      </c>
      <c r="G33" s="24">
        <v>0</v>
      </c>
    </row>
    <row r="34" spans="2:7" x14ac:dyDescent="0.15">
      <c r="B34" s="24" t="s">
        <v>42</v>
      </c>
      <c r="C34" s="24" t="s">
        <v>43</v>
      </c>
      <c r="D34" s="26">
        <v>50</v>
      </c>
      <c r="E34" s="24" t="s">
        <v>60</v>
      </c>
      <c r="F34" s="24" t="s">
        <v>57</v>
      </c>
      <c r="G34" s="24">
        <v>0</v>
      </c>
    </row>
    <row r="35" spans="2:7" x14ac:dyDescent="0.15">
      <c r="B35" s="24" t="s">
        <v>46</v>
      </c>
      <c r="C35" s="24" t="s">
        <v>47</v>
      </c>
      <c r="D35" s="26">
        <v>10</v>
      </c>
      <c r="E35" s="24" t="s">
        <v>61</v>
      </c>
      <c r="F35" s="24" t="s">
        <v>57</v>
      </c>
      <c r="G35" s="24">
        <v>0</v>
      </c>
    </row>
    <row r="36" spans="2:7" ht="14" thickBot="1" x14ac:dyDescent="0.2">
      <c r="B36" s="22" t="s">
        <v>62</v>
      </c>
      <c r="C36" s="22"/>
      <c r="D36" s="22"/>
      <c r="E36" s="22"/>
      <c r="F36" s="22"/>
      <c r="G36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466C-9354-4DBC-9E2F-6B406AD00D04}">
  <sheetPr>
    <tabColor theme="9"/>
    <outlinePr summaryBelow="0"/>
  </sheetPr>
  <dimension ref="B1:F19"/>
  <sheetViews>
    <sheetView showGridLines="0" tabSelected="1" zoomScale="158" workbookViewId="0">
      <selection activeCell="I15" sqref="I15"/>
    </sheetView>
  </sheetViews>
  <sheetFormatPr baseColWidth="10" defaultColWidth="8.83203125" defaultRowHeight="13" outlineLevelRow="1" outlineLevelCol="1" x14ac:dyDescent="0.15"/>
  <cols>
    <col min="3" max="3" width="18.83203125" bestFit="1" customWidth="1"/>
    <col min="4" max="6" width="13.33203125" bestFit="1" customWidth="1" outlineLevel="1"/>
  </cols>
  <sheetData>
    <row r="1" spans="2:6" ht="14" thickBot="1" x14ac:dyDescent="0.2"/>
    <row r="2" spans="2:6" ht="14" x14ac:dyDescent="0.15">
      <c r="B2" s="32" t="s">
        <v>71</v>
      </c>
      <c r="C2" s="32"/>
      <c r="D2" s="37"/>
      <c r="E2" s="37"/>
      <c r="F2" s="37"/>
    </row>
    <row r="3" spans="2:6" ht="14" collapsed="1" x14ac:dyDescent="0.15">
      <c r="B3" s="31"/>
      <c r="C3" s="31"/>
      <c r="D3" s="38" t="s">
        <v>73</v>
      </c>
      <c r="E3" s="38" t="s">
        <v>68</v>
      </c>
      <c r="F3" s="38" t="s">
        <v>70</v>
      </c>
    </row>
    <row r="4" spans="2:6" ht="24" hidden="1" outlineLevel="1" x14ac:dyDescent="0.15">
      <c r="B4" s="34"/>
      <c r="C4" s="34"/>
      <c r="E4" s="40" t="s">
        <v>69</v>
      </c>
      <c r="F4" s="40" t="s">
        <v>69</v>
      </c>
    </row>
    <row r="5" spans="2:6" x14ac:dyDescent="0.15">
      <c r="B5" s="35" t="s">
        <v>72</v>
      </c>
      <c r="C5" s="35"/>
      <c r="D5" s="33"/>
      <c r="E5" s="33"/>
      <c r="F5" s="33"/>
    </row>
    <row r="6" spans="2:6" outlineLevel="1" x14ac:dyDescent="0.15">
      <c r="B6" s="34"/>
      <c r="C6" s="34" t="s">
        <v>43</v>
      </c>
      <c r="D6" s="28">
        <v>50</v>
      </c>
      <c r="E6" s="39">
        <v>50</v>
      </c>
      <c r="F6" s="39">
        <v>50</v>
      </c>
    </row>
    <row r="7" spans="2:6" outlineLevel="1" x14ac:dyDescent="0.15">
      <c r="B7" s="34"/>
      <c r="C7" s="34" t="s">
        <v>45</v>
      </c>
      <c r="D7" s="28">
        <v>12</v>
      </c>
      <c r="E7" s="39">
        <v>12</v>
      </c>
      <c r="F7" s="39">
        <v>5</v>
      </c>
    </row>
    <row r="8" spans="2:6" outlineLevel="1" x14ac:dyDescent="0.15">
      <c r="B8" s="34"/>
      <c r="C8" s="34" t="s">
        <v>47</v>
      </c>
      <c r="D8" s="28">
        <v>9</v>
      </c>
      <c r="E8" s="39">
        <v>9</v>
      </c>
      <c r="F8" s="39">
        <v>10</v>
      </c>
    </row>
    <row r="9" spans="2:6" outlineLevel="1" x14ac:dyDescent="0.15">
      <c r="B9" s="34"/>
      <c r="C9" s="34" t="s">
        <v>66</v>
      </c>
      <c r="D9" s="28">
        <v>400</v>
      </c>
      <c r="E9" s="39">
        <v>400</v>
      </c>
      <c r="F9" s="39">
        <v>300</v>
      </c>
    </row>
    <row r="10" spans="2:6" outlineLevel="1" x14ac:dyDescent="0.15">
      <c r="B10" s="34"/>
      <c r="C10" s="34" t="s">
        <v>67</v>
      </c>
      <c r="D10" s="28">
        <v>600</v>
      </c>
      <c r="E10" s="39">
        <v>600</v>
      </c>
      <c r="F10" s="39">
        <v>450</v>
      </c>
    </row>
    <row r="11" spans="2:6" x14ac:dyDescent="0.15">
      <c r="B11" s="35" t="s">
        <v>74</v>
      </c>
      <c r="C11" s="35"/>
      <c r="D11" s="33"/>
      <c r="E11" s="33"/>
      <c r="F11" s="33"/>
    </row>
    <row r="12" spans="2:6" outlineLevel="1" x14ac:dyDescent="0.15">
      <c r="B12" s="34"/>
      <c r="C12" s="34" t="s">
        <v>49</v>
      </c>
      <c r="D12" s="28">
        <v>345</v>
      </c>
      <c r="E12" s="28">
        <v>345</v>
      </c>
      <c r="F12" s="28">
        <v>275</v>
      </c>
    </row>
    <row r="13" spans="2:6" outlineLevel="1" x14ac:dyDescent="0.15">
      <c r="B13" s="34"/>
      <c r="C13" s="34" t="s">
        <v>53</v>
      </c>
      <c r="D13" s="28">
        <v>598</v>
      </c>
      <c r="E13" s="28">
        <v>598</v>
      </c>
      <c r="F13" s="28">
        <v>445</v>
      </c>
    </row>
    <row r="14" spans="2:6" outlineLevel="1" x14ac:dyDescent="0.15">
      <c r="B14" s="34"/>
      <c r="C14" s="34" t="s">
        <v>41</v>
      </c>
      <c r="D14" s="29">
        <v>2771</v>
      </c>
      <c r="E14" s="29">
        <v>2771</v>
      </c>
      <c r="F14" s="29">
        <v>2365</v>
      </c>
    </row>
    <row r="15" spans="2:6" outlineLevel="1" x14ac:dyDescent="0.15">
      <c r="B15" s="34"/>
      <c r="C15" s="34" t="s">
        <v>66</v>
      </c>
      <c r="D15" s="28">
        <v>400</v>
      </c>
      <c r="E15" s="28">
        <v>400</v>
      </c>
      <c r="F15" s="28">
        <v>300</v>
      </c>
    </row>
    <row r="16" spans="2:6" ht="14" outlineLevel="1" thickBot="1" x14ac:dyDescent="0.2">
      <c r="B16" s="36"/>
      <c r="C16" s="36" t="s">
        <v>67</v>
      </c>
      <c r="D16" s="30">
        <v>600</v>
      </c>
      <c r="E16" s="30">
        <v>600</v>
      </c>
      <c r="F16" s="30">
        <v>450</v>
      </c>
    </row>
    <row r="17" spans="2:2" x14ac:dyDescent="0.15">
      <c r="B17" t="s">
        <v>75</v>
      </c>
    </row>
    <row r="18" spans="2:2" x14ac:dyDescent="0.15">
      <c r="B18" t="s">
        <v>76</v>
      </c>
    </row>
    <row r="19" spans="2:2" x14ac:dyDescent="0.15">
      <c r="B19" t="s">
        <v>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6362-90E8-46EF-B017-E8EAED438115}">
  <sheetPr>
    <tabColor theme="8"/>
  </sheetPr>
  <dimension ref="A1:F5"/>
  <sheetViews>
    <sheetView workbookViewId="0">
      <selection activeCell="A2" sqref="A2"/>
    </sheetView>
  </sheetViews>
  <sheetFormatPr baseColWidth="10" defaultColWidth="8.83203125" defaultRowHeight="13" x14ac:dyDescent="0.15"/>
  <cols>
    <col min="1" max="1" width="24.83203125" bestFit="1" customWidth="1"/>
    <col min="2" max="2" width="13.6640625" bestFit="1" customWidth="1"/>
    <col min="3" max="3" width="13.1640625" bestFit="1" customWidth="1"/>
    <col min="4" max="4" width="11.5" bestFit="1" customWidth="1"/>
    <col min="5" max="5" width="14.1640625" bestFit="1" customWidth="1"/>
    <col min="6" max="6" width="13.5" bestFit="1" customWidth="1"/>
  </cols>
  <sheetData>
    <row r="1" spans="1:6" x14ac:dyDescent="0.15">
      <c r="A1" s="41" t="s">
        <v>79</v>
      </c>
      <c r="B1" t="s">
        <v>80</v>
      </c>
    </row>
    <row r="2" spans="1:6" x14ac:dyDescent="0.15">
      <c r="A2" s="44" t="s">
        <v>81</v>
      </c>
    </row>
    <row r="3" spans="1:6" x14ac:dyDescent="0.15">
      <c r="A3" s="41" t="s">
        <v>78</v>
      </c>
      <c r="B3" t="s">
        <v>49</v>
      </c>
      <c r="C3" t="s">
        <v>53</v>
      </c>
      <c r="D3" t="s">
        <v>41</v>
      </c>
      <c r="E3" t="s">
        <v>66</v>
      </c>
      <c r="F3" t="s">
        <v>67</v>
      </c>
    </row>
    <row r="4" spans="1:6" x14ac:dyDescent="0.15">
      <c r="A4" s="42" t="s">
        <v>68</v>
      </c>
      <c r="B4">
        <v>345</v>
      </c>
      <c r="C4">
        <v>598</v>
      </c>
      <c r="D4" s="43">
        <v>2771</v>
      </c>
      <c r="E4">
        <v>400</v>
      </c>
      <c r="F4">
        <v>600</v>
      </c>
    </row>
    <row r="5" spans="1:6" x14ac:dyDescent="0.15">
      <c r="A5" s="42" t="s">
        <v>70</v>
      </c>
      <c r="B5">
        <v>275</v>
      </c>
      <c r="C5">
        <v>445</v>
      </c>
      <c r="D5" s="43">
        <v>2365</v>
      </c>
      <c r="E5">
        <v>300</v>
      </c>
      <c r="F5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Weekly Shipment Worksheet</vt:lpstr>
      <vt:lpstr>Shipment Plan Answer Report 1</vt:lpstr>
      <vt:lpstr>Shipment Plan Answer Report 2</vt:lpstr>
      <vt:lpstr>Shipment Scenario Summary</vt:lpstr>
      <vt:lpstr>Shipment Scenario PivotTable</vt:lpstr>
      <vt:lpstr>Drum_Sets_in_Stock</vt:lpstr>
      <vt:lpstr>Drum_Sets_to_Ship</vt:lpstr>
      <vt:lpstr>Guitars_in_Stock</vt:lpstr>
      <vt:lpstr>Guitars_to_Ship</vt:lpstr>
      <vt:lpstr>Keyboards_in_Stock</vt:lpstr>
      <vt:lpstr>Keyboards_to_Ship</vt:lpstr>
      <vt:lpstr>Total_Profit</vt:lpstr>
      <vt:lpstr>Total_Volume</vt:lpstr>
      <vt:lpstr>Total_Weight</vt:lpstr>
      <vt:lpstr>Truck_Volume</vt:lpstr>
      <vt:lpstr>Truck_Weight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Your Name</dc:creator>
  <dc:description/>
  <cp:lastModifiedBy>Joseph Korman</cp:lastModifiedBy>
  <cp:lastPrinted>2001-05-27T20:51:53Z</cp:lastPrinted>
  <dcterms:created xsi:type="dcterms:W3CDTF">2001-05-27T15:06:49Z</dcterms:created>
  <dcterms:modified xsi:type="dcterms:W3CDTF">2025-04-08T20:17:29Z</dcterms:modified>
</cp:coreProperties>
</file>