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2/"/>
    </mc:Choice>
  </mc:AlternateContent>
  <xr:revisionPtr revIDLastSave="0" documentId="13_ncr:1_{1886CF99-8940-2344-B522-81CD3C4173FC}" xr6:coauthVersionLast="47" xr6:coauthVersionMax="47" xr10:uidLastSave="{00000000-0000-0000-0000-000000000000}"/>
  <bookViews>
    <workbookView xWindow="0" yWindow="760" windowWidth="30240" windowHeight="17460" xr2:uid="{5CA24EF3-FBA2-4D1A-856B-E29C26B260FD}"/>
  </bookViews>
  <sheets>
    <sheet name="Therap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F26" i="1"/>
  <c r="F27" i="1"/>
  <c r="F13" i="1"/>
  <c r="F7" i="1"/>
  <c r="F18" i="1"/>
  <c r="F19" i="1"/>
  <c r="F28" i="1"/>
  <c r="F14" i="1"/>
  <c r="F20" i="1"/>
  <c r="F29" i="1"/>
  <c r="F21" i="1"/>
  <c r="F30" i="1"/>
  <c r="F11" i="1"/>
  <c r="F15" i="1"/>
  <c r="F16" i="1"/>
  <c r="F8" i="1"/>
  <c r="F22" i="1"/>
  <c r="F31" i="1"/>
  <c r="F32" i="1"/>
  <c r="F33" i="1"/>
  <c r="F12" i="1"/>
  <c r="F23" i="1"/>
  <c r="F24" i="1"/>
  <c r="F25" i="1"/>
  <c r="F9" i="1"/>
  <c r="F10" i="1"/>
  <c r="F34" i="1"/>
  <c r="F35" i="1"/>
  <c r="F17" i="1"/>
  <c r="E26" i="1"/>
  <c r="E27" i="1"/>
  <c r="E13" i="1"/>
  <c r="E18" i="1"/>
  <c r="E19" i="1"/>
  <c r="E28" i="1"/>
  <c r="E14" i="1"/>
  <c r="E20" i="1"/>
  <c r="E29" i="1"/>
  <c r="E21" i="1"/>
  <c r="E30" i="1"/>
  <c r="E11" i="1"/>
  <c r="E15" i="1"/>
  <c r="E16" i="1"/>
  <c r="E8" i="1"/>
  <c r="E22" i="1"/>
  <c r="E31" i="1"/>
  <c r="E32" i="1"/>
  <c r="E33" i="1"/>
  <c r="E12" i="1"/>
  <c r="E23" i="1"/>
  <c r="E24" i="1"/>
  <c r="E25" i="1"/>
  <c r="E9" i="1"/>
  <c r="E10" i="1"/>
  <c r="E34" i="1"/>
  <c r="E35" i="1"/>
  <c r="E17" i="1"/>
</calcChain>
</file>

<file path=xl/sharedStrings.xml><?xml version="1.0" encoding="utf-8"?>
<sst xmlns="http://schemas.openxmlformats.org/spreadsheetml/2006/main" count="85" uniqueCount="53">
  <si>
    <t>Physical Therapy Codes</t>
  </si>
  <si>
    <t>Therapy Code</t>
  </si>
  <si>
    <t>Description</t>
  </si>
  <si>
    <t>UnitOfTime*</t>
  </si>
  <si>
    <t>Therapist ID</t>
  </si>
  <si>
    <t>Biofeedback training by any modality</t>
  </si>
  <si>
    <t>AS648</t>
  </si>
  <si>
    <t>Shoulder strapping</t>
  </si>
  <si>
    <t>Treatment of speech</t>
  </si>
  <si>
    <t>JR085</t>
  </si>
  <si>
    <t>Knee strapping</t>
  </si>
  <si>
    <t>SW124</t>
  </si>
  <si>
    <t>Ankle and/or foot strapping</t>
  </si>
  <si>
    <t>BM273</t>
  </si>
  <si>
    <t>Extremity or trunk muscle testing</t>
  </si>
  <si>
    <t>Hot or cold pack application</t>
  </si>
  <si>
    <t>Mechanical traction</t>
  </si>
  <si>
    <t>Electrical stimulation</t>
  </si>
  <si>
    <t>Whirlpool Bath</t>
  </si>
  <si>
    <t>Infrared</t>
  </si>
  <si>
    <t xml:space="preserve">Electrical stimulation </t>
  </si>
  <si>
    <t xml:space="preserve">Iontophoresis </t>
  </si>
  <si>
    <t>SN852</t>
  </si>
  <si>
    <t xml:space="preserve">Ultrasound </t>
  </si>
  <si>
    <t>Unlisted modality</t>
  </si>
  <si>
    <t>Therapeutic, development exercises</t>
  </si>
  <si>
    <t>Neuromuscular re-education</t>
  </si>
  <si>
    <t xml:space="preserve">Aquatic therapy/therapeutic exercises </t>
  </si>
  <si>
    <t>Gait training</t>
  </si>
  <si>
    <t xml:space="preserve">Massage </t>
  </si>
  <si>
    <t>Unlisted therapeutic procedure</t>
  </si>
  <si>
    <t xml:space="preserve">Manual therapy techniques </t>
  </si>
  <si>
    <t>Group therapeutic procedure</t>
  </si>
  <si>
    <t>Dynamic activities to improve function</t>
  </si>
  <si>
    <t xml:space="preserve">Self-care/home management training </t>
  </si>
  <si>
    <t xml:space="preserve">Physical performance measurement </t>
  </si>
  <si>
    <t>Unlisted  service or procedure</t>
  </si>
  <si>
    <t>CMT of the spine</t>
  </si>
  <si>
    <t>Educ./training for patient self-mgmt.</t>
  </si>
  <si>
    <t>* Therapies listed with 0 minutes must be entered manually with insurance company</t>
  </si>
  <si>
    <t>Last Name</t>
  </si>
  <si>
    <t>First Name</t>
  </si>
  <si>
    <t>Shields</t>
  </si>
  <si>
    <t>Anthony</t>
  </si>
  <si>
    <t>McClain</t>
  </si>
  <si>
    <t>Bridgette</t>
  </si>
  <si>
    <t>Risk</t>
  </si>
  <si>
    <t>Jonathan</t>
  </si>
  <si>
    <t>Nair</t>
  </si>
  <si>
    <t>Saritha</t>
  </si>
  <si>
    <t>Wilder</t>
  </si>
  <si>
    <t>Steven</t>
  </si>
  <si>
    <t>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</si>
</sst>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sz val="28"/>
      <color theme="3"/>
      <name val="Rockwell"/>
      <family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1" applyFont="1" applyAlignment="1">
      <alignment horizont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2" xfId="0" applyFont="1" applyFill="1" applyBorder="1"/>
  </cellXfs>
  <cellStyles count="2">
    <cellStyle name="Normal" xfId="0" builtinId="0"/>
    <cellStyle name="Title" xfId="1" builtinId="1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1CB162-47EE-F54D-8280-00F1A9EB72C1}" name="Therapies" displayName="Therapies" ref="A6:F35" totalsRowShown="0" headerRowDxfId="2" dataDxfId="3">
  <autoFilter ref="A6:F35" xr:uid="{131CB162-47EE-F54D-8280-00F1A9EB72C1}"/>
  <sortState xmlns:xlrd2="http://schemas.microsoft.com/office/spreadsheetml/2017/richdata2" ref="A7:F35">
    <sortCondition descending="1" ref="D7:D35"/>
    <sortCondition ref="A7:A35"/>
  </sortState>
  <tableColumns count="6">
    <tableColumn id="1" xr3:uid="{C7C7C1E8-3B5F-3E4C-B19E-621CF2587E74}" name="Therapy Code" dataDxfId="7"/>
    <tableColumn id="2" xr3:uid="{34EC5FAB-96D6-8347-8143-61073ED3954F}" name="Description" dataDxfId="6"/>
    <tableColumn id="3" xr3:uid="{BD751263-2C48-5345-AD89-EAC287FA1DC9}" name="UnitOfTime*" dataDxfId="5"/>
    <tableColumn id="4" xr3:uid="{8D5506B7-2B3F-EE4E-9BE7-0C240A67F28C}" name="Therapist ID" dataDxfId="4"/>
    <tableColumn id="5" xr3:uid="{DF96B410-7FB9-D84D-99A3-4177C098C7E9}" name="Last Name" dataDxfId="1">
      <calculatedColumnFormula>_xlfn.XLOOKUP(Therapies[[#This Row],[Therapist ID]],$H$7:$H$11,$I$7:$I$11)</calculatedColumnFormula>
    </tableColumn>
    <tableColumn id="6" xr3:uid="{07A0CC9F-F656-AC43-875D-B6F33A651FF9}" name="First Name" dataDxfId="0">
      <calculatedColumnFormula>_xlfn.XLOOKUP(Therapies[[#This Row],[Therapist ID]],$H$7:$H$11,$J$7:$J$11)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joy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3998-F4FC-4432-A1B9-F74DE3639945}">
  <dimension ref="A5:J38"/>
  <sheetViews>
    <sheetView tabSelected="1" topLeftCell="A3" zoomScale="115" workbookViewId="0">
      <selection activeCell="E8" sqref="E8"/>
    </sheetView>
  </sheetViews>
  <sheetFormatPr baseColWidth="10" defaultColWidth="8.83203125" defaultRowHeight="15" x14ac:dyDescent="0.2"/>
  <cols>
    <col min="1" max="1" width="14.1640625" customWidth="1"/>
    <col min="2" max="2" width="37.83203125" bestFit="1" customWidth="1"/>
    <col min="3" max="3" width="16.83203125" bestFit="1" customWidth="1"/>
    <col min="4" max="4" width="14.33203125" customWidth="1"/>
    <col min="5" max="6" width="15.33203125" customWidth="1"/>
    <col min="8" max="10" width="13.83203125" customWidth="1"/>
  </cols>
  <sheetData>
    <row r="5" spans="1:10" ht="39" customHeight="1" x14ac:dyDescent="0.35">
      <c r="A5" s="5" t="s">
        <v>0</v>
      </c>
      <c r="B5" s="5"/>
      <c r="C5" s="5"/>
      <c r="D5" s="5"/>
      <c r="E5" s="5"/>
      <c r="F5" s="5"/>
      <c r="H5" s="5" t="s">
        <v>52</v>
      </c>
      <c r="I5" s="5"/>
      <c r="J5" s="5"/>
    </row>
    <row r="6" spans="1:10" ht="16" x14ac:dyDescent="0.2">
      <c r="A6" s="3" t="s">
        <v>1</v>
      </c>
      <c r="B6" s="3" t="s">
        <v>2</v>
      </c>
      <c r="C6" s="3" t="s">
        <v>3</v>
      </c>
      <c r="D6" s="3" t="s">
        <v>4</v>
      </c>
      <c r="E6" s="3" t="s">
        <v>40</v>
      </c>
      <c r="F6" s="3" t="s">
        <v>41</v>
      </c>
      <c r="H6" s="10" t="s">
        <v>4</v>
      </c>
      <c r="I6" s="10" t="s">
        <v>40</v>
      </c>
      <c r="J6" s="11" t="s">
        <v>41</v>
      </c>
    </row>
    <row r="7" spans="1:10" ht="16" x14ac:dyDescent="0.2">
      <c r="A7" s="2">
        <v>92530</v>
      </c>
      <c r="B7" s="1" t="s">
        <v>10</v>
      </c>
      <c r="C7" s="1">
        <v>15</v>
      </c>
      <c r="D7" s="1" t="s">
        <v>11</v>
      </c>
      <c r="E7" s="4" t="str">
        <f>_xlfn.XLOOKUP(Therapies[[#This Row],[Therapist ID]],$H$7:$H$11,$I$7:$I$11)</f>
        <v>Wilder</v>
      </c>
      <c r="F7" s="4" t="str">
        <f>_xlfn.XLOOKUP(Therapies[[#This Row],[Therapist ID]],$H$7:$H$11,$J$7:$J$11)</f>
        <v>Steven</v>
      </c>
      <c r="H7" s="6" t="s">
        <v>6</v>
      </c>
      <c r="I7" s="6" t="s">
        <v>42</v>
      </c>
      <c r="J7" s="7" t="s">
        <v>43</v>
      </c>
    </row>
    <row r="8" spans="1:10" ht="16" x14ac:dyDescent="0.2">
      <c r="A8" s="2">
        <v>97110</v>
      </c>
      <c r="B8" s="1" t="s">
        <v>25</v>
      </c>
      <c r="C8" s="1">
        <v>45</v>
      </c>
      <c r="D8" s="1" t="s">
        <v>11</v>
      </c>
      <c r="E8" s="4" t="str">
        <f>_xlfn.XLOOKUP(Therapies[[#This Row],[Therapist ID]],$H$7:$H$11,$I$7:$I$11)</f>
        <v>Wilder</v>
      </c>
      <c r="F8" s="4" t="str">
        <f>_xlfn.XLOOKUP(Therapies[[#This Row],[Therapist ID]],$H$7:$H$11,$J$7:$J$11)</f>
        <v>Steven</v>
      </c>
      <c r="H8" s="8" t="s">
        <v>13</v>
      </c>
      <c r="I8" s="8" t="s">
        <v>44</v>
      </c>
      <c r="J8" s="9" t="s">
        <v>45</v>
      </c>
    </row>
    <row r="9" spans="1:10" ht="16" x14ac:dyDescent="0.2">
      <c r="A9" s="2">
        <v>97535</v>
      </c>
      <c r="B9" s="1" t="s">
        <v>34</v>
      </c>
      <c r="C9" s="1">
        <v>30</v>
      </c>
      <c r="D9" s="1" t="s">
        <v>11</v>
      </c>
      <c r="E9" s="4" t="str">
        <f>_xlfn.XLOOKUP(Therapies[[#This Row],[Therapist ID]],$H$7:$H$11,$I$7:$I$11)</f>
        <v>Wilder</v>
      </c>
      <c r="F9" s="4" t="str">
        <f>_xlfn.XLOOKUP(Therapies[[#This Row],[Therapist ID]],$H$7:$H$11,$J$7:$J$11)</f>
        <v>Steven</v>
      </c>
      <c r="H9" s="6" t="s">
        <v>9</v>
      </c>
      <c r="I9" s="6" t="s">
        <v>46</v>
      </c>
      <c r="J9" s="7" t="s">
        <v>47</v>
      </c>
    </row>
    <row r="10" spans="1:10" ht="16" x14ac:dyDescent="0.2">
      <c r="A10" s="2">
        <v>97750</v>
      </c>
      <c r="B10" s="1" t="s">
        <v>35</v>
      </c>
      <c r="C10" s="1">
        <v>15</v>
      </c>
      <c r="D10" s="1" t="s">
        <v>11</v>
      </c>
      <c r="E10" s="4" t="str">
        <f>_xlfn.XLOOKUP(Therapies[[#This Row],[Therapist ID]],$H$7:$H$11,$I$7:$I$11)</f>
        <v>Wilder</v>
      </c>
      <c r="F10" s="4" t="str">
        <f>_xlfn.XLOOKUP(Therapies[[#This Row],[Therapist ID]],$H$7:$H$11,$J$7:$J$11)</f>
        <v>Steven</v>
      </c>
      <c r="H10" s="12" t="s">
        <v>22</v>
      </c>
      <c r="I10" s="12" t="s">
        <v>48</v>
      </c>
      <c r="J10" s="13" t="s">
        <v>49</v>
      </c>
    </row>
    <row r="11" spans="1:10" ht="16" x14ac:dyDescent="0.2">
      <c r="A11" s="2">
        <v>97033</v>
      </c>
      <c r="B11" s="1" t="s">
        <v>21</v>
      </c>
      <c r="C11" s="1">
        <v>15</v>
      </c>
      <c r="D11" s="1" t="s">
        <v>22</v>
      </c>
      <c r="E11" s="4" t="str">
        <f>_xlfn.XLOOKUP(Therapies[[#This Row],[Therapist ID]],$H$7:$H$11,$I$7:$I$11)</f>
        <v>Nair</v>
      </c>
      <c r="F11" s="4" t="str">
        <f>_xlfn.XLOOKUP(Therapies[[#This Row],[Therapist ID]],$H$7:$H$11,$J$7:$J$11)</f>
        <v>Saritha</v>
      </c>
      <c r="H11" s="6" t="s">
        <v>11</v>
      </c>
      <c r="I11" s="6" t="s">
        <v>50</v>
      </c>
      <c r="J11" s="7" t="s">
        <v>51</v>
      </c>
    </row>
    <row r="12" spans="1:10" ht="16" x14ac:dyDescent="0.2">
      <c r="A12" s="2">
        <v>97139</v>
      </c>
      <c r="B12" s="1" t="s">
        <v>30</v>
      </c>
      <c r="C12" s="1">
        <v>0</v>
      </c>
      <c r="D12" s="1" t="s">
        <v>22</v>
      </c>
      <c r="E12" s="4" t="str">
        <f>_xlfn.XLOOKUP(Therapies[[#This Row],[Therapist ID]],$H$7:$H$11,$I$7:$I$11)</f>
        <v>Nair</v>
      </c>
      <c r="F12" s="4" t="str">
        <f>_xlfn.XLOOKUP(Therapies[[#This Row],[Therapist ID]],$H$7:$H$11,$J$7:$J$11)</f>
        <v>Saritha</v>
      </c>
    </row>
    <row r="13" spans="1:10" ht="16" x14ac:dyDescent="0.2">
      <c r="A13" s="2">
        <v>92507</v>
      </c>
      <c r="B13" s="1" t="s">
        <v>8</v>
      </c>
      <c r="C13" s="1">
        <v>15</v>
      </c>
      <c r="D13" s="1" t="s">
        <v>9</v>
      </c>
      <c r="E13" s="4" t="str">
        <f>_xlfn.XLOOKUP(Therapies[[#This Row],[Therapist ID]],$H$7:$H$11,$I$7:$I$11)</f>
        <v>Risk</v>
      </c>
      <c r="F13" s="4" t="str">
        <f>_xlfn.XLOOKUP(Therapies[[#This Row],[Therapist ID]],$H$7:$H$11,$J$7:$J$11)</f>
        <v>Jonathan</v>
      </c>
    </row>
    <row r="14" spans="1:10" ht="16" x14ac:dyDescent="0.2">
      <c r="A14" s="2">
        <v>97012</v>
      </c>
      <c r="B14" s="1" t="s">
        <v>16</v>
      </c>
      <c r="C14" s="1">
        <v>60</v>
      </c>
      <c r="D14" s="1" t="s">
        <v>9</v>
      </c>
      <c r="E14" s="4" t="str">
        <f>_xlfn.XLOOKUP(Therapies[[#This Row],[Therapist ID]],$H$7:$H$11,$I$7:$I$11)</f>
        <v>Risk</v>
      </c>
      <c r="F14" s="4" t="str">
        <f>_xlfn.XLOOKUP(Therapies[[#This Row],[Therapist ID]],$H$7:$H$11,$J$7:$J$11)</f>
        <v>Jonathan</v>
      </c>
    </row>
    <row r="15" spans="1:10" ht="16" x14ac:dyDescent="0.2">
      <c r="A15" s="2">
        <v>97035</v>
      </c>
      <c r="B15" s="1" t="s">
        <v>23</v>
      </c>
      <c r="C15" s="1">
        <v>15</v>
      </c>
      <c r="D15" s="1" t="s">
        <v>9</v>
      </c>
      <c r="E15" s="4" t="str">
        <f>_xlfn.XLOOKUP(Therapies[[#This Row],[Therapist ID]],$H$7:$H$11,$I$7:$I$11)</f>
        <v>Risk</v>
      </c>
      <c r="F15" s="4" t="str">
        <f>_xlfn.XLOOKUP(Therapies[[#This Row],[Therapist ID]],$H$7:$H$11,$J$7:$J$11)</f>
        <v>Jonathan</v>
      </c>
    </row>
    <row r="16" spans="1:10" ht="16" x14ac:dyDescent="0.2">
      <c r="A16" s="2">
        <v>97039</v>
      </c>
      <c r="B16" s="1" t="s">
        <v>24</v>
      </c>
      <c r="C16" s="1">
        <v>45</v>
      </c>
      <c r="D16" s="1" t="s">
        <v>9</v>
      </c>
      <c r="E16" s="4" t="str">
        <f>_xlfn.XLOOKUP(Therapies[[#This Row],[Therapist ID]],$H$7:$H$11,$I$7:$I$11)</f>
        <v>Risk</v>
      </c>
      <c r="F16" s="4" t="str">
        <f>_xlfn.XLOOKUP(Therapies[[#This Row],[Therapist ID]],$H$7:$H$11,$J$7:$J$11)</f>
        <v>Jonathan</v>
      </c>
    </row>
    <row r="17" spans="1:6" ht="16" x14ac:dyDescent="0.2">
      <c r="A17" s="2">
        <v>98960</v>
      </c>
      <c r="B17" s="1" t="s">
        <v>38</v>
      </c>
      <c r="C17" s="1">
        <v>30</v>
      </c>
      <c r="D17" s="1" t="s">
        <v>9</v>
      </c>
      <c r="E17" s="4" t="str">
        <f>_xlfn.XLOOKUP(Therapies[[#This Row],[Therapist ID]],$H$7:$H$11,$I$7:$I$11)</f>
        <v>Risk</v>
      </c>
      <c r="F17" s="4" t="str">
        <f>_xlfn.XLOOKUP(Therapies[[#This Row],[Therapist ID]],$H$7:$H$11,$J$7:$J$11)</f>
        <v>Jonathan</v>
      </c>
    </row>
    <row r="18" spans="1:6" ht="16" x14ac:dyDescent="0.2">
      <c r="A18" s="2">
        <v>92540</v>
      </c>
      <c r="B18" s="1" t="s">
        <v>12</v>
      </c>
      <c r="C18" s="1">
        <v>15</v>
      </c>
      <c r="D18" s="1" t="s">
        <v>13</v>
      </c>
      <c r="E18" s="4" t="str">
        <f>_xlfn.XLOOKUP(Therapies[[#This Row],[Therapist ID]],$H$7:$H$11,$I$7:$I$11)</f>
        <v>McClain</v>
      </c>
      <c r="F18" s="4" t="str">
        <f>_xlfn.XLOOKUP(Therapies[[#This Row],[Therapist ID]],$H$7:$H$11,$J$7:$J$11)</f>
        <v>Bridgette</v>
      </c>
    </row>
    <row r="19" spans="1:6" ht="16" x14ac:dyDescent="0.2">
      <c r="A19" s="2">
        <v>95831</v>
      </c>
      <c r="B19" s="1" t="s">
        <v>14</v>
      </c>
      <c r="C19" s="1">
        <v>30</v>
      </c>
      <c r="D19" s="1" t="s">
        <v>13</v>
      </c>
      <c r="E19" s="4" t="str">
        <f>_xlfn.XLOOKUP(Therapies[[#This Row],[Therapist ID]],$H$7:$H$11,$I$7:$I$11)</f>
        <v>McClain</v>
      </c>
      <c r="F19" s="4" t="str">
        <f>_xlfn.XLOOKUP(Therapies[[#This Row],[Therapist ID]],$H$7:$H$11,$J$7:$J$11)</f>
        <v>Bridgette</v>
      </c>
    </row>
    <row r="20" spans="1:6" ht="16" x14ac:dyDescent="0.2">
      <c r="A20" s="2">
        <v>97014</v>
      </c>
      <c r="B20" s="1" t="s">
        <v>17</v>
      </c>
      <c r="C20" s="1">
        <v>30</v>
      </c>
      <c r="D20" s="1" t="s">
        <v>13</v>
      </c>
      <c r="E20" s="4" t="str">
        <f>_xlfn.XLOOKUP(Therapies[[#This Row],[Therapist ID]],$H$7:$H$11,$I$7:$I$11)</f>
        <v>McClain</v>
      </c>
      <c r="F20" s="4" t="str">
        <f>_xlfn.XLOOKUP(Therapies[[#This Row],[Therapist ID]],$H$7:$H$11,$J$7:$J$11)</f>
        <v>Bridgette</v>
      </c>
    </row>
    <row r="21" spans="1:6" ht="16" x14ac:dyDescent="0.2">
      <c r="A21" s="2">
        <v>97026</v>
      </c>
      <c r="B21" s="1" t="s">
        <v>19</v>
      </c>
      <c r="C21" s="1">
        <v>15</v>
      </c>
      <c r="D21" s="1" t="s">
        <v>13</v>
      </c>
      <c r="E21" s="4" t="str">
        <f>_xlfn.XLOOKUP(Therapies[[#This Row],[Therapist ID]],$H$7:$H$11,$I$7:$I$11)</f>
        <v>McClain</v>
      </c>
      <c r="F21" s="4" t="str">
        <f>_xlfn.XLOOKUP(Therapies[[#This Row],[Therapist ID]],$H$7:$H$11,$J$7:$J$11)</f>
        <v>Bridgette</v>
      </c>
    </row>
    <row r="22" spans="1:6" ht="16" x14ac:dyDescent="0.2">
      <c r="A22" s="2">
        <v>97112</v>
      </c>
      <c r="B22" s="1" t="s">
        <v>26</v>
      </c>
      <c r="C22" s="1">
        <v>15</v>
      </c>
      <c r="D22" s="1" t="s">
        <v>13</v>
      </c>
      <c r="E22" s="4" t="str">
        <f>_xlfn.XLOOKUP(Therapies[[#This Row],[Therapist ID]],$H$7:$H$11,$I$7:$I$11)</f>
        <v>McClain</v>
      </c>
      <c r="F22" s="4" t="str">
        <f>_xlfn.XLOOKUP(Therapies[[#This Row],[Therapist ID]],$H$7:$H$11,$J$7:$J$11)</f>
        <v>Bridgette</v>
      </c>
    </row>
    <row r="23" spans="1:6" ht="16" x14ac:dyDescent="0.2">
      <c r="A23" s="2">
        <v>97140</v>
      </c>
      <c r="B23" s="1" t="s">
        <v>31</v>
      </c>
      <c r="C23" s="1">
        <v>15</v>
      </c>
      <c r="D23" s="1" t="s">
        <v>13</v>
      </c>
      <c r="E23" s="4" t="str">
        <f>_xlfn.XLOOKUP(Therapies[[#This Row],[Therapist ID]],$H$7:$H$11,$I$7:$I$11)</f>
        <v>McClain</v>
      </c>
      <c r="F23" s="4" t="str">
        <f>_xlfn.XLOOKUP(Therapies[[#This Row],[Therapist ID]],$H$7:$H$11,$J$7:$J$11)</f>
        <v>Bridgette</v>
      </c>
    </row>
    <row r="24" spans="1:6" ht="16" x14ac:dyDescent="0.2">
      <c r="A24" s="2">
        <v>97150</v>
      </c>
      <c r="B24" s="1" t="s">
        <v>32</v>
      </c>
      <c r="C24" s="1">
        <v>15</v>
      </c>
      <c r="D24" s="1" t="s">
        <v>13</v>
      </c>
      <c r="E24" s="4" t="str">
        <f>_xlfn.XLOOKUP(Therapies[[#This Row],[Therapist ID]],$H$7:$H$11,$I$7:$I$11)</f>
        <v>McClain</v>
      </c>
      <c r="F24" s="4" t="str">
        <f>_xlfn.XLOOKUP(Therapies[[#This Row],[Therapist ID]],$H$7:$H$11,$J$7:$J$11)</f>
        <v>Bridgette</v>
      </c>
    </row>
    <row r="25" spans="1:6" ht="16" x14ac:dyDescent="0.2">
      <c r="A25" s="2">
        <v>97530</v>
      </c>
      <c r="B25" s="1" t="s">
        <v>33</v>
      </c>
      <c r="C25" s="1">
        <v>15</v>
      </c>
      <c r="D25" s="1" t="s">
        <v>13</v>
      </c>
      <c r="E25" s="4" t="str">
        <f>_xlfn.XLOOKUP(Therapies[[#This Row],[Therapist ID]],$H$7:$H$11,$I$7:$I$11)</f>
        <v>McClain</v>
      </c>
      <c r="F25" s="4" t="str">
        <f>_xlfn.XLOOKUP(Therapies[[#This Row],[Therapist ID]],$H$7:$H$11,$J$7:$J$11)</f>
        <v>Bridgette</v>
      </c>
    </row>
    <row r="26" spans="1:6" ht="16" x14ac:dyDescent="0.2">
      <c r="A26" s="2">
        <v>90901</v>
      </c>
      <c r="B26" s="1" t="s">
        <v>5</v>
      </c>
      <c r="C26" s="1">
        <v>45</v>
      </c>
      <c r="D26" s="1" t="s">
        <v>6</v>
      </c>
      <c r="E26" s="4" t="str">
        <f>_xlfn.XLOOKUP(Therapies[[#This Row],[Therapist ID]],$H$7:$H$11,$I$7:$I$11)</f>
        <v>Shields</v>
      </c>
      <c r="F26" s="4" t="str">
        <f>_xlfn.XLOOKUP(Therapies[[#This Row],[Therapist ID]],$H$7:$H$11,$J$7:$J$11)</f>
        <v>Anthony</v>
      </c>
    </row>
    <row r="27" spans="1:6" ht="16" x14ac:dyDescent="0.2">
      <c r="A27" s="2">
        <v>92240</v>
      </c>
      <c r="B27" s="1" t="s">
        <v>7</v>
      </c>
      <c r="C27" s="1">
        <v>30</v>
      </c>
      <c r="D27" s="1" t="s">
        <v>6</v>
      </c>
      <c r="E27" s="4" t="str">
        <f>_xlfn.XLOOKUP(Therapies[[#This Row],[Therapist ID]],$H$7:$H$11,$I$7:$I$11)</f>
        <v>Shields</v>
      </c>
      <c r="F27" s="4" t="str">
        <f>_xlfn.XLOOKUP(Therapies[[#This Row],[Therapist ID]],$H$7:$H$11,$J$7:$J$11)</f>
        <v>Anthony</v>
      </c>
    </row>
    <row r="28" spans="1:6" ht="16" x14ac:dyDescent="0.2">
      <c r="A28" s="2">
        <v>97010</v>
      </c>
      <c r="B28" s="1" t="s">
        <v>15</v>
      </c>
      <c r="C28" s="1">
        <v>15</v>
      </c>
      <c r="D28" s="1" t="s">
        <v>6</v>
      </c>
      <c r="E28" s="4" t="str">
        <f>_xlfn.XLOOKUP(Therapies[[#This Row],[Therapist ID]],$H$7:$H$11,$I$7:$I$11)</f>
        <v>Shields</v>
      </c>
      <c r="F28" s="4" t="str">
        <f>_xlfn.XLOOKUP(Therapies[[#This Row],[Therapist ID]],$H$7:$H$11,$J$7:$J$11)</f>
        <v>Anthony</v>
      </c>
    </row>
    <row r="29" spans="1:6" ht="16" x14ac:dyDescent="0.2">
      <c r="A29" s="2">
        <v>97022</v>
      </c>
      <c r="B29" s="1" t="s">
        <v>18</v>
      </c>
      <c r="C29" s="1">
        <v>30</v>
      </c>
      <c r="D29" s="1" t="s">
        <v>6</v>
      </c>
      <c r="E29" s="4" t="str">
        <f>_xlfn.XLOOKUP(Therapies[[#This Row],[Therapist ID]],$H$7:$H$11,$I$7:$I$11)</f>
        <v>Shields</v>
      </c>
      <c r="F29" s="4" t="str">
        <f>_xlfn.XLOOKUP(Therapies[[#This Row],[Therapist ID]],$H$7:$H$11,$J$7:$J$11)</f>
        <v>Anthony</v>
      </c>
    </row>
    <row r="30" spans="1:6" ht="16" x14ac:dyDescent="0.2">
      <c r="A30" s="2">
        <v>97032</v>
      </c>
      <c r="B30" s="1" t="s">
        <v>20</v>
      </c>
      <c r="C30" s="1">
        <v>15</v>
      </c>
      <c r="D30" s="1" t="s">
        <v>6</v>
      </c>
      <c r="E30" s="4" t="str">
        <f>_xlfn.XLOOKUP(Therapies[[#This Row],[Therapist ID]],$H$7:$H$11,$I$7:$I$11)</f>
        <v>Shields</v>
      </c>
      <c r="F30" s="4" t="str">
        <f>_xlfn.XLOOKUP(Therapies[[#This Row],[Therapist ID]],$H$7:$H$11,$J$7:$J$11)</f>
        <v>Anthony</v>
      </c>
    </row>
    <row r="31" spans="1:6" ht="16" x14ac:dyDescent="0.2">
      <c r="A31" s="2">
        <v>97113</v>
      </c>
      <c r="B31" s="1" t="s">
        <v>27</v>
      </c>
      <c r="C31" s="1">
        <v>15</v>
      </c>
      <c r="D31" s="1" t="s">
        <v>6</v>
      </c>
      <c r="E31" s="4" t="str">
        <f>_xlfn.XLOOKUP(Therapies[[#This Row],[Therapist ID]],$H$7:$H$11,$I$7:$I$11)</f>
        <v>Shields</v>
      </c>
      <c r="F31" s="4" t="str">
        <f>_xlfn.XLOOKUP(Therapies[[#This Row],[Therapist ID]],$H$7:$H$11,$J$7:$J$11)</f>
        <v>Anthony</v>
      </c>
    </row>
    <row r="32" spans="1:6" ht="16" x14ac:dyDescent="0.2">
      <c r="A32" s="2">
        <v>97116</v>
      </c>
      <c r="B32" s="1" t="s">
        <v>28</v>
      </c>
      <c r="C32" s="1">
        <v>15</v>
      </c>
      <c r="D32" s="1" t="s">
        <v>6</v>
      </c>
      <c r="E32" s="4" t="str">
        <f>_xlfn.XLOOKUP(Therapies[[#This Row],[Therapist ID]],$H$7:$H$11,$I$7:$I$11)</f>
        <v>Shields</v>
      </c>
      <c r="F32" s="4" t="str">
        <f>_xlfn.XLOOKUP(Therapies[[#This Row],[Therapist ID]],$H$7:$H$11,$J$7:$J$11)</f>
        <v>Anthony</v>
      </c>
    </row>
    <row r="33" spans="1:6" ht="16" x14ac:dyDescent="0.2">
      <c r="A33" s="2">
        <v>97124</v>
      </c>
      <c r="B33" s="1" t="s">
        <v>29</v>
      </c>
      <c r="C33" s="1">
        <v>15</v>
      </c>
      <c r="D33" s="1" t="s">
        <v>6</v>
      </c>
      <c r="E33" s="4" t="str">
        <f>_xlfn.XLOOKUP(Therapies[[#This Row],[Therapist ID]],$H$7:$H$11,$I$7:$I$11)</f>
        <v>Shields</v>
      </c>
      <c r="F33" s="4" t="str">
        <f>_xlfn.XLOOKUP(Therapies[[#This Row],[Therapist ID]],$H$7:$H$11,$J$7:$J$11)</f>
        <v>Anthony</v>
      </c>
    </row>
    <row r="34" spans="1:6" ht="16" x14ac:dyDescent="0.2">
      <c r="A34" s="2">
        <v>97799</v>
      </c>
      <c r="B34" s="1" t="s">
        <v>36</v>
      </c>
      <c r="C34" s="1">
        <v>0</v>
      </c>
      <c r="D34" s="1" t="s">
        <v>6</v>
      </c>
      <c r="E34" s="4" t="str">
        <f>_xlfn.XLOOKUP(Therapies[[#This Row],[Therapist ID]],$H$7:$H$11,$I$7:$I$11)</f>
        <v>Shields</v>
      </c>
      <c r="F34" s="4" t="str">
        <f>_xlfn.XLOOKUP(Therapies[[#This Row],[Therapist ID]],$H$7:$H$11,$J$7:$J$11)</f>
        <v>Anthony</v>
      </c>
    </row>
    <row r="35" spans="1:6" ht="16" x14ac:dyDescent="0.2">
      <c r="A35" s="2">
        <v>98941</v>
      </c>
      <c r="B35" s="1" t="s">
        <v>37</v>
      </c>
      <c r="C35" s="1">
        <v>15</v>
      </c>
      <c r="D35" s="1" t="s">
        <v>6</v>
      </c>
      <c r="E35" s="4" t="str">
        <f>_xlfn.XLOOKUP(Therapies[[#This Row],[Therapist ID]],$H$7:$H$11,$I$7:$I$11)</f>
        <v>Shields</v>
      </c>
      <c r="F35" s="4" t="str">
        <f>_xlfn.XLOOKUP(Therapies[[#This Row],[Therapist ID]],$H$7:$H$11,$J$7:$J$11)</f>
        <v>Anthony</v>
      </c>
    </row>
    <row r="37" spans="1:6" x14ac:dyDescent="0.2">
      <c r="A37" s="1"/>
      <c r="B37" s="1"/>
      <c r="C37" s="1"/>
      <c r="D37" s="1"/>
    </row>
    <row r="38" spans="1:6" ht="16" x14ac:dyDescent="0.2">
      <c r="A38" s="1" t="s">
        <v>39</v>
      </c>
      <c r="B38" s="1"/>
      <c r="C38" s="1"/>
      <c r="D38" s="1"/>
    </row>
  </sheetData>
  <mergeCells count="2">
    <mergeCell ref="A5:F5"/>
    <mergeCell ref="H5:J5"/>
  </mergeCells>
  <conditionalFormatting sqref="C7:C35">
    <cfRule type="iconSet" priority="1">
      <iconSet iconSet="5Quarters">
        <cfvo type="percent" val="0"/>
        <cfvo type="num" val="15"/>
        <cfvo type="num" val="30"/>
        <cfvo type="num" val="45"/>
        <cfvo type="num" val="60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Therapies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Starks</dc:creator>
  <cp:lastModifiedBy>Joseph Korman</cp:lastModifiedBy>
  <dcterms:created xsi:type="dcterms:W3CDTF">2018-11-16T22:22:04Z</dcterms:created>
  <dcterms:modified xsi:type="dcterms:W3CDTF">2025-02-19T01:00:17Z</dcterms:modified>
</cp:coreProperties>
</file>