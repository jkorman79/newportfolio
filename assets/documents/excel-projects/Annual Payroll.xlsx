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2/"/>
    </mc:Choice>
  </mc:AlternateContent>
  <xr:revisionPtr revIDLastSave="0" documentId="13_ncr:1_{553B09A5-E2B6-CE45-BCE7-3D733C08BDA6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Annual Totals" sheetId="5" r:id="rId1"/>
    <sheet name="Qtr 1" sheetId="1" r:id="rId2"/>
    <sheet name="Qtr 2" sheetId="2" r:id="rId3"/>
    <sheet name="Qtr 3" sheetId="3" r:id="rId4"/>
    <sheet name="Qtr 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4" i="5" s="1"/>
  <c r="D7" i="3"/>
  <c r="D6" i="3"/>
  <c r="D5" i="3"/>
  <c r="D4" i="3"/>
  <c r="D7" i="4"/>
  <c r="D6" i="4"/>
  <c r="D6" i="5" s="1"/>
  <c r="D5" i="4"/>
  <c r="D4" i="4"/>
  <c r="D7" i="2"/>
  <c r="D6" i="2"/>
  <c r="D5" i="2"/>
  <c r="D4" i="2"/>
  <c r="D5" i="5"/>
  <c r="D5" i="1"/>
  <c r="D6" i="1"/>
  <c r="D7" i="1"/>
  <c r="C4" i="5"/>
  <c r="D7" i="5"/>
  <c r="C5" i="5"/>
  <c r="C6" i="5"/>
  <c r="C7" i="5"/>
  <c r="C8" i="5" l="1"/>
  <c r="D8" i="3"/>
  <c r="D8" i="1"/>
  <c r="B8" i="4"/>
  <c r="B8" i="3"/>
  <c r="B8" i="2"/>
  <c r="B8" i="1"/>
  <c r="C8" i="1"/>
  <c r="C8" i="2"/>
  <c r="C8" i="3"/>
  <c r="C8" i="4"/>
  <c r="D8" i="2"/>
  <c r="D8" i="5"/>
  <c r="D2" i="1"/>
  <c r="D2" i="2"/>
  <c r="D2" i="3"/>
  <c r="D2" i="4"/>
  <c r="D2" i="5"/>
  <c r="D8" i="4" l="1"/>
</calcChain>
</file>

<file path=xl/sharedStrings.xml><?xml version="1.0" encoding="utf-8"?>
<sst xmlns="http://schemas.openxmlformats.org/spreadsheetml/2006/main" count="49" uniqueCount="15">
  <si>
    <t>Employee</t>
  </si>
  <si>
    <t>Rate of Pay</t>
  </si>
  <si>
    <t>Hours Worked</t>
  </si>
  <si>
    <t>Gross Pay</t>
  </si>
  <si>
    <t>Total</t>
  </si>
  <si>
    <t>Annual Payroll Totals</t>
  </si>
  <si>
    <t>Quarter One Totals</t>
  </si>
  <si>
    <t>Quarter Two Totals</t>
  </si>
  <si>
    <t>Quarter Three Totals</t>
  </si>
  <si>
    <t>Quarter Four Totals</t>
  </si>
  <si>
    <t>Employee ID</t>
  </si>
  <si>
    <t>JS214</t>
  </si>
  <si>
    <t>JH873</t>
  </si>
  <si>
    <t>SF297</t>
  </si>
  <si>
    <t>PW122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</si>
</sst>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0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1"/>
      <color theme="3"/>
      <name val="Gill Sans MT"/>
      <family val="2"/>
      <scheme val="minor"/>
    </font>
    <font>
      <b/>
      <sz val="12"/>
      <color theme="1"/>
      <name val="Gill Sans MT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44" fontId="1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3" fontId="4" fillId="0" borderId="0" xfId="1" applyFont="1"/>
    <xf numFmtId="0" fontId="1" fillId="0" borderId="4" xfId="0" applyFont="1" applyBorder="1"/>
    <xf numFmtId="43" fontId="1" fillId="0" borderId="4" xfId="1" applyFont="1" applyBorder="1"/>
    <xf numFmtId="0" fontId="5" fillId="0" borderId="0" xfId="0" applyFont="1"/>
    <xf numFmtId="164" fontId="9" fillId="0" borderId="4" xfId="0" applyNumberFormat="1" applyFont="1" applyBorder="1"/>
    <xf numFmtId="164" fontId="9" fillId="0" borderId="0" xfId="0" applyNumberFormat="1" applyFont="1"/>
    <xf numFmtId="0" fontId="7" fillId="0" borderId="5" xfId="2"/>
    <xf numFmtId="0" fontId="8" fillId="0" borderId="6" xfId="3"/>
    <xf numFmtId="43" fontId="5" fillId="0" borderId="0" xfId="1" applyFont="1"/>
    <xf numFmtId="43" fontId="8" fillId="0" borderId="6" xfId="1" applyFont="1" applyBorder="1"/>
    <xf numFmtId="7" fontId="8" fillId="0" borderId="6" xfId="3" applyNumberFormat="1"/>
    <xf numFmtId="43" fontId="5" fillId="0" borderId="0" xfId="0" applyNumberFormat="1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7" fontId="4" fillId="0" borderId="0" xfId="4" applyNumberFormat="1" applyFont="1"/>
    <xf numFmtId="7" fontId="8" fillId="0" borderId="6" xfId="4" applyNumberFormat="1" applyFont="1" applyBorder="1"/>
  </cellXfs>
  <cellStyles count="5">
    <cellStyle name="Comma" xfId="1" builtinId="3"/>
    <cellStyle name="Currency" xfId="4" builtinId="4"/>
    <cellStyle name="Heading 3" xfId="2" builtinId="18"/>
    <cellStyle name="Normal" xfId="0" builtinId="0"/>
    <cellStyle name="Total" xfId="3" builtinId="2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Dividend">
  <a:themeElements>
    <a:clrScheme name="Custom 1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000000"/>
      </a:accent1>
      <a:accent2>
        <a:srgbClr val="00B050"/>
      </a:accent2>
      <a:accent3>
        <a:srgbClr val="FFFF00"/>
      </a:accent3>
      <a:accent4>
        <a:srgbClr val="903163"/>
      </a:accent4>
      <a:accent5>
        <a:srgbClr val="FF0000"/>
      </a:accent5>
      <a:accent6>
        <a:srgbClr val="0000FF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D9"/>
  <sheetViews>
    <sheetView tabSelected="1" zoomScale="182" zoomScaleNormal="100" workbookViewId="0">
      <selection activeCell="D4" sqref="D4:D8"/>
    </sheetView>
  </sheetViews>
  <sheetFormatPr baseColWidth="10" defaultColWidth="9.1640625" defaultRowHeight="13" x14ac:dyDescent="0.15"/>
  <cols>
    <col min="1" max="1" width="16.5" style="1" customWidth="1"/>
    <col min="2" max="2" width="4.5" style="1" customWidth="1"/>
    <col min="3" max="3" width="24.33203125" style="1" customWidth="1"/>
    <col min="4" max="4" width="23.5" style="1" customWidth="1"/>
    <col min="5" max="5" width="14.33203125" style="1" customWidth="1"/>
    <col min="6" max="16384" width="9.1640625" style="1"/>
  </cols>
  <sheetData>
    <row r="1" spans="1:4" ht="36.75" customHeight="1" thickBot="1" x14ac:dyDescent="0.3">
      <c r="A1" s="14" t="s">
        <v>5</v>
      </c>
      <c r="B1" s="15"/>
      <c r="C1" s="15"/>
      <c r="D1" s="16"/>
    </row>
    <row r="2" spans="1:4" ht="36.75" customHeight="1" x14ac:dyDescent="0.15">
      <c r="A2" s="3"/>
      <c r="B2" s="3"/>
      <c r="C2" s="3"/>
      <c r="D2" s="6">
        <f ca="1">TODAY()</f>
        <v>45706</v>
      </c>
    </row>
    <row r="3" spans="1:4" ht="36.75" customHeight="1" thickBot="1" x14ac:dyDescent="0.25">
      <c r="A3" s="8" t="s">
        <v>10</v>
      </c>
      <c r="B3" s="8"/>
      <c r="C3" s="8" t="s">
        <v>2</v>
      </c>
      <c r="D3" s="8" t="s">
        <v>3</v>
      </c>
    </row>
    <row r="4" spans="1:4" ht="20" customHeight="1" x14ac:dyDescent="0.2">
      <c r="A4" s="5" t="s">
        <v>11</v>
      </c>
      <c r="B4" s="5"/>
      <c r="C4" s="2">
        <f>SUM('Qtr 1:Qtr 4'!C4)</f>
        <v>995</v>
      </c>
      <c r="D4" s="29">
        <f>SUM('Qtr 1:Qtr 4'!D4)</f>
        <v>13153.899999999998</v>
      </c>
    </row>
    <row r="5" spans="1:4" ht="20" customHeight="1" x14ac:dyDescent="0.2">
      <c r="A5" s="5" t="s">
        <v>12</v>
      </c>
      <c r="B5" s="5"/>
      <c r="C5" s="2">
        <f>SUM('Qtr 1:Qtr 4'!C5)</f>
        <v>2014</v>
      </c>
      <c r="D5" s="29">
        <f>SUM('Qtr 1:Qtr 4'!D5)</f>
        <v>20643.5</v>
      </c>
    </row>
    <row r="6" spans="1:4" ht="20" customHeight="1" x14ac:dyDescent="0.2">
      <c r="A6" s="5" t="s">
        <v>13</v>
      </c>
      <c r="B6" s="5"/>
      <c r="C6" s="2">
        <f>SUM('Qtr 1:Qtr 4'!C6)</f>
        <v>1972</v>
      </c>
      <c r="D6" s="29">
        <f>SUM('Qtr 1:Qtr 4'!D6)</f>
        <v>37625.760000000002</v>
      </c>
    </row>
    <row r="7" spans="1:4" ht="20" customHeight="1" x14ac:dyDescent="0.2">
      <c r="A7" s="5" t="s">
        <v>14</v>
      </c>
      <c r="B7" s="5"/>
      <c r="C7" s="2">
        <f>SUM('Qtr 1:Qtr 4'!C7)</f>
        <v>2033</v>
      </c>
      <c r="D7" s="29">
        <f>SUM('Qtr 1:Qtr 4'!D7)</f>
        <v>37712.159999999996</v>
      </c>
    </row>
    <row r="8" spans="1:4" ht="20" customHeight="1" thickBot="1" x14ac:dyDescent="0.25">
      <c r="A8" s="9" t="s">
        <v>4</v>
      </c>
      <c r="B8" s="9"/>
      <c r="C8" s="11">
        <f>SUM(C4:C7)</f>
        <v>7014</v>
      </c>
      <c r="D8" s="30">
        <f>SUM(D4:D7)</f>
        <v>109135.32</v>
      </c>
    </row>
    <row r="9" spans="1:4" ht="14" thickTop="1" x14ac:dyDescent="0.15"/>
  </sheetData>
  <mergeCells count="1">
    <mergeCell ref="A1:D1"/>
  </mergeCells>
  <phoneticPr fontId="0" type="noConversion"/>
  <printOptions horizontalCentered="1" gridLines="1" gridLinesSet="0"/>
  <pageMargins left="0.75" right="0.75" top="1" bottom="1" header="0.5" footer="0.5"/>
  <pageSetup orientation="portrait" horizontalDpi="200" verticalDpi="200" r:id="rId1"/>
  <headerFooter alignWithMargins="0">
    <oddHeader xml:space="preserve">&amp;C&amp;"System Font,Regular"&amp;K000000SC_EX_5_Payroll&amp;R18-Feb-2025
</oddHeader>
    <oddFooter>&amp;CAnnual Totals
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A1:D9"/>
  <sheetViews>
    <sheetView zoomScale="182" zoomScaleNormal="182" workbookViewId="0">
      <selection activeCell="C12" sqref="C12"/>
    </sheetView>
  </sheetViews>
  <sheetFormatPr baseColWidth="10" defaultColWidth="9.1640625" defaultRowHeight="13" x14ac:dyDescent="0.15"/>
  <cols>
    <col min="1" max="1" width="13" style="1" customWidth="1"/>
    <col min="2" max="2" width="24.33203125" style="1" customWidth="1"/>
    <col min="3" max="3" width="23.5" style="1" customWidth="1"/>
    <col min="4" max="4" width="14.33203125" style="1" customWidth="1"/>
    <col min="5" max="16384" width="9.1640625" style="1"/>
  </cols>
  <sheetData>
    <row r="1" spans="1:4" ht="36.75" customHeight="1" thickBot="1" x14ac:dyDescent="0.3">
      <c r="A1" s="17" t="s">
        <v>6</v>
      </c>
      <c r="B1" s="18"/>
      <c r="C1" s="18"/>
      <c r="D1" s="19"/>
    </row>
    <row r="2" spans="1:4" ht="36.75" customHeight="1" x14ac:dyDescent="0.15">
      <c r="A2" s="4"/>
      <c r="B2" s="4"/>
      <c r="C2" s="4"/>
      <c r="D2" s="7">
        <f ca="1">TODAY()</f>
        <v>45706</v>
      </c>
    </row>
    <row r="3" spans="1:4" ht="36.75" customHeight="1" thickBo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ht="20" customHeight="1" x14ac:dyDescent="0.2">
      <c r="A4" s="5" t="s">
        <v>11</v>
      </c>
      <c r="B4" s="5">
        <v>13.22</v>
      </c>
      <c r="C4" s="10">
        <v>260</v>
      </c>
      <c r="D4" s="13">
        <f>ROUND(B4*C4,2)</f>
        <v>3437.2</v>
      </c>
    </row>
    <row r="5" spans="1:4" ht="20" customHeight="1" x14ac:dyDescent="0.2">
      <c r="A5" s="5" t="s">
        <v>12</v>
      </c>
      <c r="B5" s="5">
        <v>10.25</v>
      </c>
      <c r="C5" s="10">
        <v>500</v>
      </c>
      <c r="D5" s="13">
        <f t="shared" ref="D5:D7" si="0">ROUND(B5*C5,2)</f>
        <v>5125</v>
      </c>
    </row>
    <row r="6" spans="1:4" ht="20" customHeight="1" x14ac:dyDescent="0.2">
      <c r="A6" s="5" t="s">
        <v>13</v>
      </c>
      <c r="B6" s="5">
        <v>19.079999999999998</v>
      </c>
      <c r="C6" s="10">
        <v>520</v>
      </c>
      <c r="D6" s="13">
        <f t="shared" si="0"/>
        <v>9921.6</v>
      </c>
    </row>
    <row r="7" spans="1:4" ht="20" customHeight="1" x14ac:dyDescent="0.2">
      <c r="A7" s="5" t="s">
        <v>14</v>
      </c>
      <c r="B7" s="5">
        <v>18.55</v>
      </c>
      <c r="C7" s="10">
        <v>495.5</v>
      </c>
      <c r="D7" s="13">
        <f t="shared" si="0"/>
        <v>9191.5300000000007</v>
      </c>
    </row>
    <row r="8" spans="1:4" ht="20" customHeight="1" thickBot="1" x14ac:dyDescent="0.25">
      <c r="A8" s="9" t="s">
        <v>4</v>
      </c>
      <c r="B8" s="9">
        <f>SUM(B4:B7)</f>
        <v>61.099999999999994</v>
      </c>
      <c r="C8" s="11">
        <f>SUM(C4:C7)</f>
        <v>1775.5</v>
      </c>
      <c r="D8" s="12">
        <f>SUM(D4:D7)</f>
        <v>27675.33</v>
      </c>
    </row>
    <row r="9" spans="1:4" ht="14" thickTop="1" x14ac:dyDescent="0.15"/>
  </sheetData>
  <mergeCells count="1">
    <mergeCell ref="A1:D1"/>
  </mergeCells>
  <phoneticPr fontId="0" type="noConversion"/>
  <printOptions horizontalCentered="1" gridLines="1" gridLinesSet="0"/>
  <pageMargins left="0.75" right="0.75" top="1" bottom="1" header="0.5" footer="0.5"/>
  <pageSetup orientation="portrait" horizontalDpi="300" verticalDpi="300" r:id="rId1"/>
  <headerFooter alignWithMargins="0">
    <oddHeader xml:space="preserve">&amp;C&amp;"System Font,Regular"&amp;K000000SC_EX_5_Payroll&amp;R18-Feb-2025
</oddHeader>
    <oddFooter>&amp;CAnnual Totals
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/>
  </sheetPr>
  <dimension ref="A1:D9"/>
  <sheetViews>
    <sheetView zoomScale="182" zoomScaleNormal="182" workbookViewId="0">
      <selection activeCell="C12" sqref="C12"/>
    </sheetView>
  </sheetViews>
  <sheetFormatPr baseColWidth="10" defaultColWidth="9.1640625" defaultRowHeight="13" x14ac:dyDescent="0.15"/>
  <cols>
    <col min="1" max="1" width="13" style="1" customWidth="1"/>
    <col min="2" max="2" width="24.33203125" style="1" customWidth="1"/>
    <col min="3" max="3" width="23.5" style="1" customWidth="1"/>
    <col min="4" max="4" width="14.33203125" style="1" customWidth="1"/>
    <col min="5" max="16384" width="9.1640625" style="1"/>
  </cols>
  <sheetData>
    <row r="1" spans="1:4" ht="36.75" customHeight="1" thickBot="1" x14ac:dyDescent="0.3">
      <c r="A1" s="20" t="s">
        <v>7</v>
      </c>
      <c r="B1" s="21"/>
      <c r="C1" s="21"/>
      <c r="D1" s="22"/>
    </row>
    <row r="2" spans="1:4" ht="36.75" customHeight="1" x14ac:dyDescent="0.15">
      <c r="A2" s="4"/>
      <c r="B2" s="4"/>
      <c r="C2" s="4"/>
      <c r="D2" s="7">
        <f ca="1">TODAY()</f>
        <v>45706</v>
      </c>
    </row>
    <row r="3" spans="1:4" ht="36.75" customHeight="1" thickBo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ht="20" customHeight="1" x14ac:dyDescent="0.2">
      <c r="A4" s="5" t="s">
        <v>11</v>
      </c>
      <c r="B4" s="5">
        <v>13.22</v>
      </c>
      <c r="C4" s="10">
        <v>255</v>
      </c>
      <c r="D4" s="13">
        <f>ROUND(B4*C4,2)</f>
        <v>3371.1</v>
      </c>
    </row>
    <row r="5" spans="1:4" ht="20" customHeight="1" x14ac:dyDescent="0.2">
      <c r="A5" s="5" t="s">
        <v>12</v>
      </c>
      <c r="B5" s="5">
        <v>10.25</v>
      </c>
      <c r="C5" s="10">
        <v>492</v>
      </c>
      <c r="D5" s="13">
        <f t="shared" ref="D5:D7" si="0">ROUND(B5*C5,2)</f>
        <v>5043</v>
      </c>
    </row>
    <row r="6" spans="1:4" ht="20" customHeight="1" x14ac:dyDescent="0.2">
      <c r="A6" s="5" t="s">
        <v>13</v>
      </c>
      <c r="B6" s="5">
        <v>19.079999999999998</v>
      </c>
      <c r="C6" s="10">
        <v>496</v>
      </c>
      <c r="D6" s="13">
        <f t="shared" si="0"/>
        <v>9463.68</v>
      </c>
    </row>
    <row r="7" spans="1:4" ht="20" customHeight="1" x14ac:dyDescent="0.2">
      <c r="A7" s="5" t="s">
        <v>14</v>
      </c>
      <c r="B7" s="5">
        <v>18.55</v>
      </c>
      <c r="C7" s="10">
        <v>520</v>
      </c>
      <c r="D7" s="13">
        <f t="shared" si="0"/>
        <v>9646</v>
      </c>
    </row>
    <row r="8" spans="1:4" ht="20" customHeight="1" thickBot="1" x14ac:dyDescent="0.25">
      <c r="A8" s="9" t="s">
        <v>4</v>
      </c>
      <c r="B8" s="9">
        <f>SUM(B4:B7)</f>
        <v>61.099999999999994</v>
      </c>
      <c r="C8" s="11">
        <f>SUM(C4:C7)</f>
        <v>1763</v>
      </c>
      <c r="D8" s="12">
        <f>SUM(D4:D7)</f>
        <v>27523.78</v>
      </c>
    </row>
    <row r="9" spans="1:4" ht="14" thickTop="1" x14ac:dyDescent="0.15"/>
  </sheetData>
  <mergeCells count="1">
    <mergeCell ref="A1:D1"/>
  </mergeCells>
  <phoneticPr fontId="0" type="noConversion"/>
  <printOptions horizontalCentered="1" gridLines="1" gridLinesSet="0"/>
  <pageMargins left="0.75" right="0.75" top="1" bottom="1" header="0.5" footer="0.5"/>
  <pageSetup orientation="portrait" horizontalDpi="0" verticalDpi="0"/>
  <headerFooter alignWithMargins="0">
    <oddHeader xml:space="preserve">&amp;C&amp;"System Font,Regular"&amp;K000000SC_EX_5_Payroll&amp;R18-Feb-2025
</oddHeader>
    <oddFooter>&amp;CAnnual Totals
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1"/>
  </sheetPr>
  <dimension ref="A1:D9"/>
  <sheetViews>
    <sheetView zoomScale="182" zoomScaleNormal="182" workbookViewId="0">
      <selection activeCell="C12" sqref="C12"/>
    </sheetView>
  </sheetViews>
  <sheetFormatPr baseColWidth="10" defaultColWidth="9.1640625" defaultRowHeight="13" x14ac:dyDescent="0.15"/>
  <cols>
    <col min="1" max="1" width="13" style="1" customWidth="1"/>
    <col min="2" max="2" width="24.33203125" style="1" customWidth="1"/>
    <col min="3" max="3" width="23.5" style="1" customWidth="1"/>
    <col min="4" max="4" width="14.33203125" style="1" customWidth="1"/>
    <col min="5" max="16384" width="9.1640625" style="1"/>
  </cols>
  <sheetData>
    <row r="1" spans="1:4" ht="36.75" customHeight="1" thickBot="1" x14ac:dyDescent="0.3">
      <c r="A1" s="23" t="s">
        <v>8</v>
      </c>
      <c r="B1" s="24"/>
      <c r="C1" s="24"/>
      <c r="D1" s="25"/>
    </row>
    <row r="2" spans="1:4" ht="36.75" customHeight="1" x14ac:dyDescent="0.15">
      <c r="A2" s="4"/>
      <c r="B2" s="4"/>
      <c r="C2" s="4"/>
      <c r="D2" s="7">
        <f ca="1">TODAY()</f>
        <v>45706</v>
      </c>
    </row>
    <row r="3" spans="1:4" ht="36.75" customHeight="1" thickBo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ht="20" customHeight="1" x14ac:dyDescent="0.2">
      <c r="A4" s="5" t="s">
        <v>11</v>
      </c>
      <c r="B4" s="5">
        <v>13.22</v>
      </c>
      <c r="C4" s="10">
        <v>220</v>
      </c>
      <c r="D4" s="13">
        <f>ROUND(B4*C4,2)</f>
        <v>2908.4</v>
      </c>
    </row>
    <row r="5" spans="1:4" ht="20" customHeight="1" x14ac:dyDescent="0.2">
      <c r="A5" s="5" t="s">
        <v>12</v>
      </c>
      <c r="B5" s="5">
        <v>10.25</v>
      </c>
      <c r="C5" s="10">
        <v>520</v>
      </c>
      <c r="D5" s="13">
        <f t="shared" ref="D5:D7" si="0">ROUND(B5*C5,2)</f>
        <v>5330</v>
      </c>
    </row>
    <row r="6" spans="1:4" ht="20" customHeight="1" x14ac:dyDescent="0.2">
      <c r="A6" s="5" t="s">
        <v>13</v>
      </c>
      <c r="B6" s="5">
        <v>19.079999999999998</v>
      </c>
      <c r="C6" s="10">
        <v>476</v>
      </c>
      <c r="D6" s="13">
        <f t="shared" si="0"/>
        <v>9082.08</v>
      </c>
    </row>
    <row r="7" spans="1:4" ht="20" customHeight="1" x14ac:dyDescent="0.2">
      <c r="A7" s="5" t="s">
        <v>14</v>
      </c>
      <c r="B7" s="5">
        <v>18.55</v>
      </c>
      <c r="C7" s="10">
        <v>512</v>
      </c>
      <c r="D7" s="13">
        <f t="shared" si="0"/>
        <v>9497.6</v>
      </c>
    </row>
    <row r="8" spans="1:4" ht="20" customHeight="1" thickBot="1" x14ac:dyDescent="0.25">
      <c r="A8" s="9" t="s">
        <v>4</v>
      </c>
      <c r="B8" s="9">
        <f>SUM(B4:B7)</f>
        <v>61.099999999999994</v>
      </c>
      <c r="C8" s="11">
        <f>SUM(C4:C7)</f>
        <v>1728</v>
      </c>
      <c r="D8" s="12">
        <f>SUM(D4:D7)</f>
        <v>26818.080000000002</v>
      </c>
    </row>
    <row r="9" spans="1:4" ht="14" thickTop="1" x14ac:dyDescent="0.15"/>
  </sheetData>
  <mergeCells count="1">
    <mergeCell ref="A1:D1"/>
  </mergeCells>
  <phoneticPr fontId="0" type="noConversion"/>
  <printOptions horizontalCentered="1" gridLines="1" gridLinesSet="0"/>
  <pageMargins left="0.75" right="0.75" top="1" bottom="1" header="0.5" footer="0.5"/>
  <pageSetup orientation="portrait" r:id="rId1"/>
  <headerFooter alignWithMargins="0">
    <oddHeader xml:space="preserve">&amp;C&amp;"System Font,Regular"&amp;K000000SC_EX_5_Payroll&amp;R18-Feb-2025
</oddHeader>
    <oddFooter>&amp;CAnnual Totals
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6"/>
  </sheetPr>
  <dimension ref="A1:D9"/>
  <sheetViews>
    <sheetView zoomScale="182" zoomScaleNormal="182" workbookViewId="0">
      <selection activeCell="C12" sqref="C12"/>
    </sheetView>
  </sheetViews>
  <sheetFormatPr baseColWidth="10" defaultColWidth="9.1640625" defaultRowHeight="13" x14ac:dyDescent="0.15"/>
  <cols>
    <col min="1" max="1" width="13" style="1" customWidth="1"/>
    <col min="2" max="2" width="24.33203125" style="1" customWidth="1"/>
    <col min="3" max="3" width="23.5" style="1" customWidth="1"/>
    <col min="4" max="4" width="14.33203125" style="1" customWidth="1"/>
    <col min="5" max="16384" width="9.1640625" style="1"/>
  </cols>
  <sheetData>
    <row r="1" spans="1:4" ht="36.75" customHeight="1" thickBot="1" x14ac:dyDescent="0.3">
      <c r="A1" s="26" t="s">
        <v>9</v>
      </c>
      <c r="B1" s="27"/>
      <c r="C1" s="27"/>
      <c r="D1" s="28"/>
    </row>
    <row r="2" spans="1:4" ht="36.75" customHeight="1" x14ac:dyDescent="0.15">
      <c r="A2" s="4"/>
      <c r="B2" s="4"/>
      <c r="C2" s="4"/>
      <c r="D2" s="7">
        <f ca="1">TODAY()</f>
        <v>45706</v>
      </c>
    </row>
    <row r="3" spans="1:4" ht="36.75" customHeight="1" thickBot="1" x14ac:dyDescent="0.25">
      <c r="A3" s="8" t="s">
        <v>0</v>
      </c>
      <c r="B3" s="8" t="s">
        <v>1</v>
      </c>
      <c r="C3" s="8" t="s">
        <v>2</v>
      </c>
      <c r="D3" s="8" t="s">
        <v>3</v>
      </c>
    </row>
    <row r="4" spans="1:4" ht="20" customHeight="1" x14ac:dyDescent="0.2">
      <c r="A4" s="5" t="s">
        <v>11</v>
      </c>
      <c r="B4" s="5">
        <v>13.22</v>
      </c>
      <c r="C4" s="10">
        <v>260</v>
      </c>
      <c r="D4" s="13">
        <f>ROUND(B4*C4,2)</f>
        <v>3437.2</v>
      </c>
    </row>
    <row r="5" spans="1:4" ht="20" customHeight="1" x14ac:dyDescent="0.2">
      <c r="A5" s="5" t="s">
        <v>12</v>
      </c>
      <c r="B5" s="5">
        <v>10.25</v>
      </c>
      <c r="C5" s="10">
        <v>502</v>
      </c>
      <c r="D5" s="13">
        <f t="shared" ref="D5:D7" si="0">ROUND(B5*C5,2)</f>
        <v>5145.5</v>
      </c>
    </row>
    <row r="6" spans="1:4" ht="20" customHeight="1" x14ac:dyDescent="0.2">
      <c r="A6" s="5" t="s">
        <v>13</v>
      </c>
      <c r="B6" s="5">
        <v>19.079999999999998</v>
      </c>
      <c r="C6" s="10">
        <v>480</v>
      </c>
      <c r="D6" s="13">
        <f t="shared" si="0"/>
        <v>9158.4</v>
      </c>
    </row>
    <row r="7" spans="1:4" ht="20" customHeight="1" x14ac:dyDescent="0.2">
      <c r="A7" s="5" t="s">
        <v>14</v>
      </c>
      <c r="B7" s="5">
        <v>18.55</v>
      </c>
      <c r="C7" s="10">
        <v>505.5</v>
      </c>
      <c r="D7" s="13">
        <f t="shared" si="0"/>
        <v>9377.0300000000007</v>
      </c>
    </row>
    <row r="8" spans="1:4" ht="20" customHeight="1" thickBot="1" x14ac:dyDescent="0.25">
      <c r="A8" s="9" t="s">
        <v>4</v>
      </c>
      <c r="B8" s="9">
        <f>SUM(B4:B7)</f>
        <v>61.099999999999994</v>
      </c>
      <c r="C8" s="11">
        <f>SUM(C4:C7)</f>
        <v>1747.5</v>
      </c>
      <c r="D8" s="12">
        <f>SUM(D4:D7)</f>
        <v>27118.129999999997</v>
      </c>
    </row>
    <row r="9" spans="1:4" ht="14" thickTop="1" x14ac:dyDescent="0.15"/>
  </sheetData>
  <mergeCells count="1">
    <mergeCell ref="A1:D1"/>
  </mergeCells>
  <phoneticPr fontId="0" type="noConversion"/>
  <printOptions horizontalCentered="1" gridLines="1" gridLinesSet="0"/>
  <pageMargins left="0.75" right="0.75" top="1" bottom="1" header="0.5" footer="0.5"/>
  <pageSetup orientation="portrait" horizontalDpi="0" verticalDpi="0"/>
  <headerFooter alignWithMargins="0">
    <oddHeader xml:space="preserve">&amp;C&amp;"System Font,Regular"&amp;K000000SC_EX_5_Payroll&amp;R18-Feb-2025
</oddHeader>
    <oddFooter>&amp;CAnnual Totals
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Totals</vt:lpstr>
      <vt:lpstr>Qtr 1</vt:lpstr>
      <vt:lpstr>Qtr 2</vt:lpstr>
      <vt:lpstr>Qtr 3</vt:lpstr>
      <vt:lpstr>Qtr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Joseph Korman</cp:lastModifiedBy>
  <cp:lastPrinted>2015-09-06T18:24:10Z</cp:lastPrinted>
  <dcterms:created xsi:type="dcterms:W3CDTF">1997-04-08T22:20:38Z</dcterms:created>
  <dcterms:modified xsi:type="dcterms:W3CDTF">2025-02-19T00:24:13Z</dcterms:modified>
</cp:coreProperties>
</file>