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josephkorman/Desktop/Excel Funsies/For Portfolio/"/>
    </mc:Choice>
  </mc:AlternateContent>
  <xr:revisionPtr revIDLastSave="0" documentId="8_{407F87C8-12F0-9742-9F51-ADB214BE19DE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Jan" sheetId="1" r:id="rId1"/>
    <sheet name="Feb" sheetId="8" r:id="rId2"/>
    <sheet name="Mar" sheetId="9" r:id="rId3"/>
    <sheet name="Apr" sheetId="10" r:id="rId4"/>
    <sheet name="May" sheetId="11" r:id="rId5"/>
    <sheet name="Jun" sheetId="12" r:id="rId6"/>
    <sheet name="Jul" sheetId="13" r:id="rId7"/>
    <sheet name="Aug" sheetId="14" r:id="rId8"/>
    <sheet name="Sep" sheetId="15" r:id="rId9"/>
    <sheet name="Oct" sheetId="16" r:id="rId10"/>
    <sheet name="Nov" sheetId="17" r:id="rId11"/>
    <sheet name="Dec" sheetId="18" r:id="rId12"/>
    <sheet name="Totals" sheetId="6" r:id="rId13"/>
    <sheet name="Chart Data" sheetId="7" state="hidden" r:id="rId14"/>
  </sheets>
  <definedNames>
    <definedName name="Total_Monthly_Expenses">#REF!</definedName>
    <definedName name="Total_Monthly_Income">#REF!</definedName>
    <definedName name="Total_Monthly_Savings">#REF!</definedName>
    <definedName name="TotalMonthlyExpenses">#REF!</definedName>
    <definedName name="TotalMonthlyIncome">#REF!</definedName>
    <definedName name="TotalMonthlySaving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9zfj1pbzhSWDE66kTSMklEz9N5Sukdox4WDNtq0aBJE="/>
    </ext>
  </extLst>
</workbook>
</file>

<file path=xl/calcChain.xml><?xml version="1.0" encoding="utf-8"?>
<calcChain xmlns="http://schemas.openxmlformats.org/spreadsheetml/2006/main">
  <c r="M10" i="6" l="1"/>
  <c r="M11" i="6"/>
  <c r="M9" i="6"/>
  <c r="M5" i="6"/>
  <c r="M4" i="6"/>
  <c r="L11" i="6"/>
  <c r="L10" i="6"/>
  <c r="L9" i="6"/>
  <c r="L5" i="6"/>
  <c r="L4" i="6"/>
  <c r="K11" i="6"/>
  <c r="K10" i="6"/>
  <c r="K9" i="6"/>
  <c r="K5" i="6"/>
  <c r="K4" i="6"/>
  <c r="J11" i="6"/>
  <c r="J10" i="6"/>
  <c r="J9" i="6"/>
  <c r="J5" i="6"/>
  <c r="J4" i="6"/>
  <c r="I11" i="6"/>
  <c r="I10" i="6"/>
  <c r="I9" i="6"/>
  <c r="I5" i="6"/>
  <c r="I4" i="6"/>
  <c r="H11" i="6"/>
  <c r="H10" i="6"/>
  <c r="H9" i="6"/>
  <c r="H5" i="6"/>
  <c r="H4" i="6"/>
  <c r="G11" i="6"/>
  <c r="G10" i="6"/>
  <c r="G9" i="6"/>
  <c r="G5" i="6"/>
  <c r="G4" i="6"/>
  <c r="F11" i="6"/>
  <c r="F10" i="6"/>
  <c r="F9" i="6"/>
  <c r="F5" i="6"/>
  <c r="F4" i="6"/>
  <c r="D11" i="6"/>
  <c r="D10" i="6"/>
  <c r="D9" i="6"/>
  <c r="D5" i="6"/>
  <c r="D4" i="6"/>
  <c r="C11" i="6"/>
  <c r="C9" i="6"/>
  <c r="C5" i="6"/>
  <c r="C4" i="6"/>
  <c r="G12" i="6"/>
  <c r="D12" i="6"/>
  <c r="B11" i="6"/>
  <c r="B10" i="6"/>
  <c r="B9" i="6"/>
  <c r="B5" i="6"/>
  <c r="F6" i="6"/>
  <c r="B4" i="6"/>
  <c r="D6" i="6"/>
  <c r="C6" i="6"/>
  <c r="Q43" i="18"/>
  <c r="R42" i="18"/>
  <c r="R41" i="18"/>
  <c r="R40" i="18"/>
  <c r="R43" i="18" s="1"/>
  <c r="S35" i="18"/>
  <c r="P35" i="18"/>
  <c r="B39" i="18" s="1"/>
  <c r="B41" i="18" s="1"/>
  <c r="L35" i="18"/>
  <c r="H35" i="18"/>
  <c r="D35" i="18"/>
  <c r="B40" i="18" s="1"/>
  <c r="Q43" i="17"/>
  <c r="R42" i="17"/>
  <c r="R41" i="17"/>
  <c r="R40" i="17"/>
  <c r="R43" i="17" s="1"/>
  <c r="S35" i="17"/>
  <c r="P35" i="17"/>
  <c r="B39" i="17" s="1"/>
  <c r="B41" i="17" s="1"/>
  <c r="L35" i="17"/>
  <c r="H35" i="17"/>
  <c r="D35" i="17"/>
  <c r="B40" i="17" s="1"/>
  <c r="Q43" i="16"/>
  <c r="R42" i="16"/>
  <c r="R41" i="16"/>
  <c r="R40" i="16"/>
  <c r="R43" i="16" s="1"/>
  <c r="B39" i="16"/>
  <c r="B41" i="16" s="1"/>
  <c r="S35" i="16"/>
  <c r="P35" i="16"/>
  <c r="L35" i="16"/>
  <c r="H35" i="16"/>
  <c r="D35" i="16"/>
  <c r="B40" i="16" s="1"/>
  <c r="Q43" i="15"/>
  <c r="R42" i="15"/>
  <c r="R41" i="15"/>
  <c r="R40" i="15"/>
  <c r="R43" i="15" s="1"/>
  <c r="S35" i="15"/>
  <c r="P35" i="15"/>
  <c r="B39" i="15" s="1"/>
  <c r="B41" i="15" s="1"/>
  <c r="L35" i="15"/>
  <c r="H35" i="15"/>
  <c r="D35" i="15"/>
  <c r="B40" i="15" s="1"/>
  <c r="Q43" i="14"/>
  <c r="R42" i="14"/>
  <c r="R41" i="14"/>
  <c r="R40" i="14"/>
  <c r="R43" i="14" s="1"/>
  <c r="S35" i="14"/>
  <c r="P35" i="14"/>
  <c r="B39" i="14" s="1"/>
  <c r="B41" i="14" s="1"/>
  <c r="L35" i="14"/>
  <c r="H35" i="14"/>
  <c r="D35" i="14"/>
  <c r="B40" i="14" s="1"/>
  <c r="Q43" i="13"/>
  <c r="R42" i="13"/>
  <c r="R41" i="13"/>
  <c r="R40" i="13"/>
  <c r="R43" i="13" s="1"/>
  <c r="S35" i="13"/>
  <c r="P35" i="13"/>
  <c r="B39" i="13" s="1"/>
  <c r="B41" i="13" s="1"/>
  <c r="L35" i="13"/>
  <c r="H35" i="13"/>
  <c r="D35" i="13"/>
  <c r="B40" i="13" s="1"/>
  <c r="Q43" i="12"/>
  <c r="R42" i="12"/>
  <c r="R41" i="12"/>
  <c r="R40" i="12"/>
  <c r="R43" i="12" s="1"/>
  <c r="S35" i="12"/>
  <c r="P35" i="12"/>
  <c r="B39" i="12" s="1"/>
  <c r="B41" i="12" s="1"/>
  <c r="L35" i="12"/>
  <c r="H35" i="12"/>
  <c r="D35" i="12"/>
  <c r="B40" i="12" s="1"/>
  <c r="Q43" i="11"/>
  <c r="R42" i="11"/>
  <c r="R41" i="11"/>
  <c r="R40" i="11"/>
  <c r="R43" i="11" s="1"/>
  <c r="S35" i="11"/>
  <c r="P35" i="11"/>
  <c r="B39" i="11" s="1"/>
  <c r="B41" i="11" s="1"/>
  <c r="L35" i="11"/>
  <c r="H35" i="11"/>
  <c r="D35" i="11"/>
  <c r="B40" i="11" s="1"/>
  <c r="Q43" i="10"/>
  <c r="R42" i="10"/>
  <c r="R41" i="10"/>
  <c r="R40" i="10"/>
  <c r="R43" i="10" s="1"/>
  <c r="S35" i="10"/>
  <c r="E5" i="6" s="1"/>
  <c r="P35" i="10"/>
  <c r="L35" i="10"/>
  <c r="E11" i="6" s="1"/>
  <c r="H35" i="10"/>
  <c r="E10" i="6" s="1"/>
  <c r="D35" i="10"/>
  <c r="Q43" i="9"/>
  <c r="R42" i="9"/>
  <c r="R41" i="9"/>
  <c r="R40" i="9"/>
  <c r="R43" i="9" s="1"/>
  <c r="B39" i="9"/>
  <c r="S35" i="9"/>
  <c r="P35" i="9"/>
  <c r="L35" i="9"/>
  <c r="H35" i="9"/>
  <c r="D35" i="9"/>
  <c r="C37" i="8"/>
  <c r="Q43" i="8"/>
  <c r="R42" i="8"/>
  <c r="R41" i="8"/>
  <c r="R40" i="8"/>
  <c r="R43" i="8" s="1"/>
  <c r="S35" i="8"/>
  <c r="P35" i="8"/>
  <c r="L35" i="8"/>
  <c r="H35" i="8"/>
  <c r="C10" i="6" s="1"/>
  <c r="D35" i="8"/>
  <c r="B6" i="7"/>
  <c r="B5" i="7"/>
  <c r="B4" i="7" s="1"/>
  <c r="H12" i="6"/>
  <c r="F12" i="6"/>
  <c r="B12" i="6"/>
  <c r="M8" i="6"/>
  <c r="L8" i="6"/>
  <c r="K8" i="6"/>
  <c r="J8" i="6"/>
  <c r="I8" i="6"/>
  <c r="H8" i="6"/>
  <c r="G8" i="6"/>
  <c r="F8" i="6"/>
  <c r="E8" i="6"/>
  <c r="D8" i="6"/>
  <c r="C8" i="6"/>
  <c r="B8" i="6"/>
  <c r="B6" i="6"/>
  <c r="M6" i="6"/>
  <c r="M12" i="6"/>
  <c r="L6" i="6"/>
  <c r="K12" i="6"/>
  <c r="Q43" i="1"/>
  <c r="R42" i="1"/>
  <c r="R41" i="1"/>
  <c r="R40" i="1"/>
  <c r="S35" i="1"/>
  <c r="P35" i="1"/>
  <c r="L35" i="1"/>
  <c r="H35" i="1"/>
  <c r="D35" i="1"/>
  <c r="B39" i="10" l="1"/>
  <c r="E4" i="6"/>
  <c r="B40" i="10"/>
  <c r="B41" i="10" s="1"/>
  <c r="E9" i="6"/>
  <c r="E12" i="6" s="1"/>
  <c r="N9" i="6"/>
  <c r="G6" i="6"/>
  <c r="G14" i="6" s="1"/>
  <c r="N5" i="6"/>
  <c r="N11" i="6"/>
  <c r="N10" i="6"/>
  <c r="C12" i="6"/>
  <c r="C14" i="6" s="1"/>
  <c r="D14" i="6"/>
  <c r="J6" i="6"/>
  <c r="H6" i="6"/>
  <c r="H14" i="6" s="1"/>
  <c r="B40" i="9"/>
  <c r="B41" i="9" s="1"/>
  <c r="B39" i="8"/>
  <c r="B40" i="8"/>
  <c r="S37" i="8"/>
  <c r="C37" i="9" s="1"/>
  <c r="S37" i="9" s="1"/>
  <c r="C37" i="10" s="1"/>
  <c r="S37" i="10" s="1"/>
  <c r="C37" i="11" s="1"/>
  <c r="S37" i="11" s="1"/>
  <c r="C37" i="12" s="1"/>
  <c r="R43" i="1"/>
  <c r="M14" i="6"/>
  <c r="B40" i="1"/>
  <c r="B39" i="1"/>
  <c r="S37" i="1"/>
  <c r="I6" i="6"/>
  <c r="F14" i="6"/>
  <c r="L12" i="6"/>
  <c r="L14" i="6" s="1"/>
  <c r="I12" i="6"/>
  <c r="B14" i="6"/>
  <c r="K6" i="6"/>
  <c r="K14" i="6" s="1"/>
  <c r="J12" i="6"/>
  <c r="J14" i="6" s="1"/>
  <c r="N4" i="6" l="1"/>
  <c r="E6" i="6"/>
  <c r="E14" i="6" s="1"/>
  <c r="N12" i="6"/>
  <c r="N6" i="6"/>
  <c r="B41" i="8"/>
  <c r="B41" i="1"/>
  <c r="I14" i="6"/>
  <c r="S37" i="12"/>
  <c r="C37" i="13" s="1"/>
  <c r="S37" i="13" s="1"/>
  <c r="C37" i="14" s="1"/>
  <c r="S37" i="14" s="1"/>
  <c r="C37" i="15" s="1"/>
  <c r="S37" i="15" s="1"/>
  <c r="C37" i="16" s="1"/>
  <c r="S37" i="16" s="1"/>
  <c r="C37" i="17" s="1"/>
  <c r="S37" i="17" s="1"/>
  <c r="C37" i="18" s="1"/>
  <c r="S37" i="18" s="1"/>
  <c r="N14" i="6" l="1"/>
</calcChain>
</file>

<file path=xl/sharedStrings.xml><?xml version="1.0" encoding="utf-8"?>
<sst xmlns="http://schemas.openxmlformats.org/spreadsheetml/2006/main" count="569" uniqueCount="57">
  <si>
    <t>Expenses</t>
  </si>
  <si>
    <t>Income</t>
  </si>
  <si>
    <t xml:space="preserve">Fixed </t>
  </si>
  <si>
    <t>Flexible</t>
  </si>
  <si>
    <t>Discretionary</t>
  </si>
  <si>
    <t>Work</t>
  </si>
  <si>
    <t>Other</t>
  </si>
  <si>
    <t>Date</t>
  </si>
  <si>
    <t>Source</t>
  </si>
  <si>
    <t>Category</t>
  </si>
  <si>
    <t>Cost</t>
  </si>
  <si>
    <t>Amount</t>
  </si>
  <si>
    <t>Rent</t>
  </si>
  <si>
    <t>Public Transit</t>
  </si>
  <si>
    <t>Eating Out</t>
  </si>
  <si>
    <t>Verizon</t>
  </si>
  <si>
    <t>Wifi</t>
  </si>
  <si>
    <t>Gas</t>
  </si>
  <si>
    <t>Total</t>
  </si>
  <si>
    <t>Groceries</t>
  </si>
  <si>
    <t>Beg. Bal</t>
  </si>
  <si>
    <t>End Bal.</t>
  </si>
  <si>
    <t>Amount Earned</t>
  </si>
  <si>
    <t>Price</t>
  </si>
  <si>
    <t>Amount Spent</t>
  </si>
  <si>
    <t>Subway/Bus</t>
  </si>
  <si>
    <t>Remaining</t>
  </si>
  <si>
    <t>NJT</t>
  </si>
  <si>
    <t>Jitney</t>
  </si>
  <si>
    <t>CHART DATA</t>
  </si>
  <si>
    <t>Total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</si>
  <si>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</si>
  <si>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</si>
  <si>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</si>
  <si>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</si>
  <si>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</si>
  <si>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</si>
  <si>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</si>
  <si>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</si>
  <si>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</si>
  <si>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</si>
  <si>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</si>
  <si>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</si>
  <si>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Fixed Expenses</t>
  </si>
  <si>
    <t>Flexible Expenses</t>
  </si>
  <si>
    <t>Discretionary Expenses</t>
  </si>
  <si>
    <t>Net</t>
  </si>
  <si>
    <t>NYC Real Estate</t>
  </si>
  <si>
    <t>Trader Joe's</t>
  </si>
  <si>
    <t>Sunoco</t>
  </si>
  <si>
    <t>Noi Due</t>
  </si>
  <si>
    <t>Paycheck</t>
  </si>
  <si>
    <t>Venmo from Friend</t>
  </si>
  <si>
    <t>Con Edison</t>
  </si>
  <si>
    <t>Utilities</t>
  </si>
  <si>
    <t># Rides</t>
  </si>
  <si>
    <t>This Year's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</si>
</sst>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164" formatCode="m/d"/>
    <numFmt numFmtId="165" formatCode="m\-d"/>
    <numFmt numFmtId="166" formatCode="&quot;$&quot;#,##0.00"/>
  </numFmts>
  <fonts count="29">
    <font>
      <b/>
      <sz val="12"/>
      <color rgb="FF7A8677"/>
      <name val="Arial"/>
      <scheme val="minor"/>
    </font>
    <font>
      <b/>
      <sz val="29"/>
      <color rgb="FF002060"/>
      <name val="Montserrat"/>
    </font>
    <font>
      <sz val="12"/>
      <name val="Arial"/>
    </font>
    <font>
      <b/>
      <sz val="20"/>
      <color rgb="FF002060"/>
      <name val="Arial Rounded"/>
    </font>
    <font>
      <b/>
      <sz val="12"/>
      <color rgb="FF7A8677"/>
      <name val="Arial Rounded"/>
    </font>
    <font>
      <b/>
      <sz val="18"/>
      <color rgb="FF002060"/>
      <name val="Arial Rounded"/>
    </font>
    <font>
      <b/>
      <sz val="11"/>
      <color rgb="FF282C27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rial"/>
    </font>
    <font>
      <b/>
      <sz val="12"/>
      <color rgb="FF7A8677"/>
      <name val="Arial"/>
    </font>
    <font>
      <b/>
      <sz val="16"/>
      <color theme="1"/>
      <name val="Arial"/>
    </font>
    <font>
      <b/>
      <sz val="16"/>
      <color rgb="FFFFFFFF"/>
      <name val="Arial"/>
    </font>
    <font>
      <b/>
      <sz val="12"/>
      <color rgb="FF000000"/>
      <name val="Arial"/>
    </font>
    <font>
      <sz val="12"/>
      <color rgb="FFFFFFFF"/>
      <name val="Arial"/>
    </font>
    <font>
      <sz val="12"/>
      <color rgb="FF000000"/>
      <name val="Arial"/>
    </font>
    <font>
      <b/>
      <sz val="29"/>
      <color theme="9"/>
      <name val="Montserrat"/>
    </font>
    <font>
      <b/>
      <sz val="25"/>
      <color theme="9"/>
      <name val="Montserrat"/>
    </font>
    <font>
      <b/>
      <sz val="18"/>
      <color rgb="FF282C27"/>
      <name val="Arial"/>
    </font>
    <font>
      <b/>
      <sz val="14"/>
      <color rgb="FF7A8677"/>
      <name val="Arial"/>
    </font>
    <font>
      <b/>
      <sz val="20"/>
      <color theme="1"/>
      <name val="Montserrat"/>
    </font>
    <font>
      <b/>
      <sz val="13"/>
      <color theme="1"/>
      <name val="Arial Rounded"/>
    </font>
    <font>
      <sz val="13"/>
      <color theme="1"/>
      <name val="Arial Rounded"/>
    </font>
    <font>
      <b/>
      <sz val="20"/>
      <color theme="0"/>
      <name val="Montserrat"/>
    </font>
    <font>
      <b/>
      <sz val="16"/>
      <color theme="0"/>
      <name val="Arial"/>
    </font>
    <font>
      <b/>
      <sz val="12"/>
      <color theme="1"/>
      <name val="Arial"/>
      <family val="2"/>
    </font>
    <font>
      <b/>
      <sz val="16"/>
      <color rgb="FFFFFFFF"/>
      <name val="Arial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BEDE6"/>
        <bgColor rgb="FFEBEDE6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</fills>
  <borders count="43">
    <border>
      <left/>
      <right/>
      <top/>
      <bottom/>
      <diagonal/>
    </border>
    <border>
      <left style="thin">
        <color theme="6"/>
      </left>
      <right/>
      <top style="thin">
        <color theme="6"/>
      </top>
      <bottom style="thin">
        <color rgb="FF000000"/>
      </bottom>
      <diagonal/>
    </border>
    <border>
      <left/>
      <right/>
      <top style="thin">
        <color theme="6"/>
      </top>
      <bottom style="thin">
        <color rgb="FF000000"/>
      </bottom>
      <diagonal/>
    </border>
    <border>
      <left/>
      <right style="thin">
        <color theme="6"/>
      </right>
      <top style="thin">
        <color theme="6"/>
      </top>
      <bottom style="thin">
        <color rgb="FF000000"/>
      </bottom>
      <diagonal/>
    </border>
    <border>
      <left style="thin">
        <color theme="6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theme="4"/>
      </top>
      <bottom style="double">
        <color theme="4"/>
      </bottom>
      <diagonal/>
    </border>
    <border>
      <left/>
      <right style="medium">
        <color rgb="FF000000"/>
      </right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theme="1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4" fillId="0" borderId="0" xfId="0" applyFont="1"/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/>
    <xf numFmtId="44" fontId="7" fillId="0" borderId="22" xfId="0" applyNumberFormat="1" applyFont="1" applyBorder="1" applyAlignment="1">
      <alignment horizontal="center"/>
    </xf>
    <xf numFmtId="44" fontId="7" fillId="0" borderId="23" xfId="0" applyNumberFormat="1" applyFont="1" applyBorder="1" applyAlignment="1">
      <alignment horizontal="center"/>
    </xf>
    <xf numFmtId="0" fontId="7" fillId="0" borderId="0" xfId="0" applyFont="1"/>
    <xf numFmtId="44" fontId="7" fillId="0" borderId="23" xfId="0" applyNumberFormat="1" applyFont="1" applyBorder="1" applyAlignment="1">
      <alignment horizontal="center" vertical="center"/>
    </xf>
    <xf numFmtId="166" fontId="10" fillId="0" borderId="0" xfId="0" applyNumberFormat="1" applyFont="1"/>
    <xf numFmtId="0" fontId="11" fillId="0" borderId="24" xfId="0" applyFont="1" applyBorder="1"/>
    <xf numFmtId="8" fontId="7" fillId="0" borderId="24" xfId="0" applyNumberFormat="1" applyFont="1" applyBorder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44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9" fontId="8" fillId="0" borderId="0" xfId="0" applyNumberFormat="1" applyFont="1"/>
    <xf numFmtId="0" fontId="18" fillId="0" borderId="20" xfId="0" applyFont="1" applyBorder="1" applyAlignment="1">
      <alignment horizontal="right"/>
    </xf>
    <xf numFmtId="0" fontId="18" fillId="0" borderId="0" xfId="0" applyFont="1" applyAlignment="1">
      <alignment horizontal="center"/>
    </xf>
    <xf numFmtId="0" fontId="18" fillId="0" borderId="27" xfId="0" applyFont="1" applyBorder="1" applyAlignment="1">
      <alignment horizontal="center"/>
    </xf>
    <xf numFmtId="0" fontId="11" fillId="0" borderId="20" xfId="0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20" fillId="0" borderId="28" xfId="0" applyFont="1" applyBorder="1" applyAlignment="1">
      <alignment horizontal="right"/>
    </xf>
    <xf numFmtId="0" fontId="21" fillId="0" borderId="20" xfId="0" applyFont="1" applyBorder="1"/>
    <xf numFmtId="0" fontId="22" fillId="0" borderId="0" xfId="0" applyFont="1"/>
    <xf numFmtId="0" fontId="22" fillId="0" borderId="27" xfId="0" applyFont="1" applyBorder="1"/>
    <xf numFmtId="0" fontId="21" fillId="0" borderId="20" xfId="0" applyFont="1" applyBorder="1" applyAlignment="1">
      <alignment horizontal="right"/>
    </xf>
    <xf numFmtId="0" fontId="23" fillId="4" borderId="30" xfId="0" applyFont="1" applyFill="1" applyBorder="1" applyAlignment="1">
      <alignment horizontal="right"/>
    </xf>
    <xf numFmtId="44" fontId="10" fillId="0" borderId="0" xfId="0" applyNumberFormat="1" applyFont="1"/>
    <xf numFmtId="0" fontId="5" fillId="2" borderId="11" xfId="0" applyFont="1" applyFill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7" fillId="0" borderId="21" xfId="0" applyFont="1" applyBorder="1" applyAlignment="1">
      <alignment horizontal="center"/>
    </xf>
    <xf numFmtId="0" fontId="2" fillId="0" borderId="22" xfId="0" applyFont="1" applyBorder="1"/>
    <xf numFmtId="49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2" borderId="7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8" xfId="0" applyFont="1" applyBorder="1"/>
    <xf numFmtId="0" fontId="16" fillId="0" borderId="11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2" fillId="0" borderId="26" xfId="0" applyFont="1" applyBorder="1"/>
    <xf numFmtId="0" fontId="25" fillId="0" borderId="33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7" fillId="0" borderId="0" xfId="0" applyFont="1" applyAlignment="1">
      <alignment vertical="center"/>
    </xf>
    <xf numFmtId="44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4" fontId="25" fillId="0" borderId="34" xfId="0" applyNumberFormat="1" applyFont="1" applyBorder="1" applyAlignment="1">
      <alignment horizontal="center"/>
    </xf>
    <xf numFmtId="0" fontId="25" fillId="0" borderId="35" xfId="0" applyFont="1" applyBorder="1" applyAlignment="1">
      <alignment horizontal="center"/>
    </xf>
    <xf numFmtId="44" fontId="25" fillId="0" borderId="36" xfId="0" applyNumberFormat="1" applyFont="1" applyBorder="1" applyAlignment="1">
      <alignment horizontal="center"/>
    </xf>
    <xf numFmtId="164" fontId="25" fillId="0" borderId="37" xfId="0" applyNumberFormat="1" applyFont="1" applyBorder="1" applyAlignment="1">
      <alignment horizontal="center"/>
    </xf>
    <xf numFmtId="0" fontId="25" fillId="0" borderId="38" xfId="0" applyFont="1" applyBorder="1" applyAlignment="1">
      <alignment horizontal="center"/>
    </xf>
    <xf numFmtId="44" fontId="25" fillId="0" borderId="39" xfId="0" applyNumberFormat="1" applyFont="1" applyBorder="1" applyAlignment="1">
      <alignment horizontal="center"/>
    </xf>
    <xf numFmtId="164" fontId="25" fillId="0" borderId="40" xfId="0" applyNumberFormat="1" applyFont="1" applyBorder="1" applyAlignment="1">
      <alignment horizontal="center"/>
    </xf>
    <xf numFmtId="0" fontId="25" fillId="0" borderId="41" xfId="0" applyFont="1" applyBorder="1" applyAlignment="1">
      <alignment horizontal="center"/>
    </xf>
    <xf numFmtId="44" fontId="25" fillId="0" borderId="42" xfId="0" applyNumberFormat="1" applyFont="1" applyBorder="1" applyAlignment="1">
      <alignment horizontal="center"/>
    </xf>
    <xf numFmtId="165" fontId="25" fillId="0" borderId="38" xfId="0" applyNumberFormat="1" applyFont="1" applyBorder="1" applyAlignment="1">
      <alignment horizontal="center"/>
    </xf>
    <xf numFmtId="0" fontId="26" fillId="0" borderId="0" xfId="0" applyFont="1" applyAlignment="1">
      <alignment horizontal="center" vertical="center"/>
    </xf>
    <xf numFmtId="166" fontId="19" fillId="0" borderId="0" xfId="0" applyNumberFormat="1" applyFont="1" applyAlignment="1">
      <alignment horizontal="center" vertical="center"/>
    </xf>
    <xf numFmtId="166" fontId="19" fillId="0" borderId="27" xfId="0" applyNumberFormat="1" applyFont="1" applyBorder="1" applyAlignment="1">
      <alignment horizontal="center" vertical="center"/>
    </xf>
    <xf numFmtId="166" fontId="11" fillId="0" borderId="24" xfId="0" applyNumberFormat="1" applyFont="1" applyBorder="1" applyAlignment="1">
      <alignment horizontal="center" vertical="center"/>
    </xf>
    <xf numFmtId="166" fontId="11" fillId="0" borderId="29" xfId="0" applyNumberFormat="1" applyFont="1" applyBorder="1" applyAlignment="1">
      <alignment horizontal="center" vertical="center"/>
    </xf>
    <xf numFmtId="166" fontId="24" fillId="4" borderId="31" xfId="0" applyNumberFormat="1" applyFont="1" applyFill="1" applyBorder="1" applyAlignment="1">
      <alignment horizontal="center" vertical="center"/>
    </xf>
    <xf numFmtId="166" fontId="24" fillId="4" borderId="3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EDDBE8"/>
          <bgColor rgb="FFEDDBE8"/>
        </patternFill>
      </fill>
    </dxf>
    <dxf>
      <fill>
        <patternFill patternType="solid">
          <fgColor rgb="FFDCB7D2"/>
          <bgColor rgb="FFDCB7D2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fill>
        <patternFill patternType="solid">
          <fgColor rgb="FFB2DFE6"/>
          <bgColor rgb="FFB2DFE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EFF2"/>
          <bgColor rgb="FFD8EFF2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EFF2"/>
          <bgColor rgb="FFD8EFF2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EFF2"/>
          <bgColor rgb="FFD8EFF2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EFF2"/>
          <bgColor rgb="FFD8EFF2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EFF2"/>
          <bgColor rgb="FFD8EFF2"/>
        </patternFill>
      </fill>
    </dxf>
    <dxf>
      <fill>
        <patternFill patternType="solid">
          <fgColor theme="6"/>
          <bgColor theme="6"/>
        </patternFill>
      </fill>
    </dxf>
  </dxfs>
  <tableStyles count="5">
    <tableStyle name="Nov-style" pivot="0" count="4" xr9:uid="{00000000-0011-0000-FFFF-FFFF00000000}">
      <tableStyleElement type="wholeTable" size="0" dxfId="33"/>
      <tableStyleElement type="headerRow" dxfId="36"/>
      <tableStyleElement type="firstRowStripe" dxfId="35"/>
      <tableStyleElement type="secondRowStripe" dxfId="34"/>
    </tableStyle>
    <tableStyle name="Sep-style" pivot="0" count="4" xr9:uid="{00000000-0011-0000-FFFF-FFFF01000000}">
      <tableStyleElement type="wholeTable" size="0" dxfId="29"/>
      <tableStyleElement type="headerRow" dxfId="32"/>
      <tableStyleElement type="firstRowStripe" dxfId="31"/>
      <tableStyleElement type="secondRowStripe" dxfId="30"/>
    </tableStyle>
    <tableStyle name="Oct-style" pivot="0" count="4" xr9:uid="{00000000-0011-0000-FFFF-FFFF02000000}">
      <tableStyleElement type="wholeTable" size="0" dxfId="25"/>
      <tableStyleElement type="headerRow" dxfId="28"/>
      <tableStyleElement type="firstRowStripe" dxfId="27"/>
      <tableStyleElement type="secondRowStripe" dxfId="26"/>
    </tableStyle>
    <tableStyle name="Aug-style" pivot="0" count="4" xr9:uid="{00000000-0011-0000-FFFF-FFFF03000000}">
      <tableStyleElement type="wholeTable" size="0" dxfId="21"/>
      <tableStyleElement type="headerRow" dxfId="24"/>
      <tableStyleElement type="firstRowStripe" dxfId="23"/>
      <tableStyleElement type="secondRowStripe" dxfId="22"/>
    </tableStyle>
    <tableStyle name="Dec-style" pivot="0" count="4" xr9:uid="{00000000-0011-0000-FFFF-FFFF04000000}">
      <tableStyleElement type="wholeTable" size="0" dxfId="17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D5-EF49-9DAD-CFC4EFDA5D3D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D5-EF49-9DAD-CFC4EFDA5D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Jan!$A$39:$A$41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Jan!$B$39:$B$41</c:f>
              <c:numCache>
                <c:formatCode>"$"#,##0.00</c:formatCode>
                <c:ptCount val="3"/>
                <c:pt idx="0">
                  <c:v>5015</c:v>
                </c:pt>
                <c:pt idx="1">
                  <c:v>4365</c:v>
                </c:pt>
                <c:pt idx="2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D5-EF49-9DAD-CFC4EFDA5D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CEA-7A40-8A06-E83E9713F0B2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CEA-7A40-8A06-E83E9713F0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Feb!$A$39:$A$41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Feb!$B$39:$B$41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CEA-7A40-8A06-E83E9713F0B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5D-2B4B-B0C2-4910A6330482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5D-2B4B-B0C2-4910A633048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Mar!$B$39:$B$41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5D-2B4B-B0C2-4910A633048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48F-AE4D-85F2-4B742EB23A12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48F-AE4D-85F2-4B742EB23A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Apr!$A$39:$A$41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Apr!$B$39:$B$41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8F-AE4D-85F2-4B742EB23A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00-F84F-B26A-E3F9458C3FC5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00-F84F-B26A-E3F9458C3F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May!$A$39:$A$41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May!$B$39:$B$41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00-F84F-B26A-E3F9458C3F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BB-B740-95E3-DB446D00C36D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BB-B740-95E3-DB446D00C36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Jun!$A$39:$A$41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Jun!$B$39:$B$41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BB-B740-95E3-DB446D00C36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4E6-EC45-98D0-3AB00E64B2D8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4E6-EC45-98D0-3AB00E64B2D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Jul!$A$39:$A$41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Jul!$B$39:$B$41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E6-EC45-98D0-3AB00E64B2D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86-914F-B4DF-C014E7CEEB27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86-914F-B4DF-C014E7CEEB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Aug!$A$39:$A$41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Aug!$B$39:$B$41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86-914F-B4DF-C014E7CEEB2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765-2D4A-A62B-A2E3C5107F5A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765-2D4A-A62B-A2E3C5107F5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Sep!$A$39:$A$41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Sep!$B$39:$B$41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765-2D4A-A62B-A2E3C5107F5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F29-4845-870A-19CB8BC6D9E7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F29-4845-870A-19CB8BC6D9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Oct!$A$39:$A$41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Oct!$B$39:$B$41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29-4845-870A-19CB8BC6D9E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AF4-4640-9315-3BD7E2340686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AF4-4640-9315-3BD7E23406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Nov!$A$39:$A$41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Nov!$B$39:$B$41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F4-4640-9315-3BD7E234068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/>
              <a:t>This Month's Totals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E16-5A40-8D9B-CCE08C7E9AF6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E16-5A40-8D9B-CCE08C7E9A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Dec!$A$39:$A$41</c:f>
              <c:strCache>
                <c:ptCount val="3"/>
                <c:pt idx="0">
                  <c:v>Amount Earned</c:v>
                </c:pt>
                <c:pt idx="1">
                  <c:v>Amount Spent</c:v>
                </c:pt>
                <c:pt idx="2">
                  <c:v>Remaining</c:v>
                </c:pt>
              </c:strCache>
            </c:strRef>
          </c:cat>
          <c:val>
            <c:numRef>
              <c:f>Dec!$B$39:$B$41</c:f>
              <c:numCache>
                <c:formatCode>"$"#,##0.00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16-5A40-8D9B-CCE08C7E9A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7680512"/>
        <c:axId val="377682224"/>
      </c:barChart>
      <c:catAx>
        <c:axId val="377680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2224"/>
        <c:crosses val="autoZero"/>
        <c:auto val="1"/>
        <c:lblAlgn val="ctr"/>
        <c:lblOffset val="100"/>
        <c:noMultiLvlLbl val="0"/>
      </c:catAx>
      <c:valAx>
        <c:axId val="377682224"/>
        <c:scaling>
          <c:orientation val="minMax"/>
        </c:scaling>
        <c:delete val="0"/>
        <c:axPos val="l"/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680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400" b="1" i="0">
                <a:solidFill>
                  <a:srgbClr val="757575"/>
                </a:solidFill>
                <a:latin typeface="+mn-lt"/>
              </a:defRPr>
            </a:pPr>
            <a:r>
              <a:rPr lang="en-US" sz="2400" b="1" i="0">
                <a:solidFill>
                  <a:srgbClr val="757575"/>
                </a:solidFill>
                <a:latin typeface="+mn-lt"/>
              </a:rPr>
              <a:t>Revenue and Expenses Per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Expenses</c:v>
          </c:tx>
          <c:spPr>
            <a:ln w="28575"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1" i="0">
                    <a:solidFill>
                      <a:srgbClr val="C00000"/>
                    </a:solidFill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Totals!$B$3:$M$3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Totals!$B$12:$M$12</c:f>
              <c:numCache>
                <c:formatCode>"$"#,##0.00</c:formatCode>
                <c:ptCount val="12"/>
                <c:pt idx="0">
                  <c:v>4365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5-D24D-9D0F-4F792E035255}"/>
            </c:ext>
          </c:extLst>
        </c:ser>
        <c:ser>
          <c:idx val="1"/>
          <c:order val="1"/>
          <c:tx>
            <c:v>Income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Totals!$B$3:$M$3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Totals!$B$6:$M$6</c:f>
              <c:numCache>
                <c:formatCode>"$"#,##0.00</c:formatCode>
                <c:ptCount val="12"/>
                <c:pt idx="0">
                  <c:v>5015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75-D24D-9D0F-4F792E035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035465"/>
        <c:axId val="880104495"/>
      </c:lineChart>
      <c:catAx>
        <c:axId val="822035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0104495"/>
        <c:crosses val="autoZero"/>
        <c:auto val="1"/>
        <c:lblAlgn val="ctr"/>
        <c:lblOffset val="100"/>
        <c:noMultiLvlLbl val="1"/>
      </c:catAx>
      <c:valAx>
        <c:axId val="8801044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_);\(&quot;$&quot;#,##0\)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203546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4792170586519825"/>
          <c:y val="0.92732334705450326"/>
          <c:w val="0.16954248366013072"/>
          <c:h val="4.935134735056166E-2"/>
        </c:manualLayout>
      </c:layout>
      <c:overlay val="0"/>
      <c:txPr>
        <a:bodyPr/>
        <a:lstStyle/>
        <a:p>
          <a:pPr lvl="0">
            <a:defRPr sz="1000"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14FF6A-C4EA-334F-AC23-7408C8BB4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CD4676-B5D9-2249-B45D-8BF100FF1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6B431-EADF-5A4C-B41C-6E8E6CAD8B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693AFF-CDA7-5542-B7D3-87FBD895B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223AE6-B6E3-A744-8088-65E62147D2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604BEC-05B1-384B-9F57-9A951C9C5C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15D7F4-B139-614E-8A41-CD298DDFE7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BE4073-E0B2-294C-9D6C-8E7776609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2E6C83-7FA5-BB41-B57E-1E4853D50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793FD4-1772-1B44-8680-020ECB64E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913E3C-5636-4647-89A7-DC0339DD91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76200</xdr:rowOff>
    </xdr:from>
    <xdr:to>
      <xdr:col>7</xdr:col>
      <xdr:colOff>863600</xdr:colOff>
      <xdr:row>61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8D3326-F096-084B-9962-41F8BDD02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412750</xdr:colOff>
      <xdr:row>16</xdr:row>
      <xdr:rowOff>155575</xdr:rowOff>
    </xdr:from>
    <xdr:ext cx="11658600" cy="4391025"/>
    <xdr:graphicFrame macro="">
      <xdr:nvGraphicFramePr>
        <xdr:cNvPr id="32631983" name="Chart 6">
          <a:extLst>
            <a:ext uri="{FF2B5EF4-FFF2-40B4-BE49-F238E27FC236}">
              <a16:creationId xmlns:a16="http://schemas.microsoft.com/office/drawing/2014/main" id="{00000000-0008-0000-0500-0000AFECF1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_4" displayName="Table_4" ref="O39:R43">
  <tableColumns count="4">
    <tableColumn id="1" xr3:uid="{00000000-0010-0000-0000-000001000000}" name="Public Transit"/>
    <tableColumn id="2" xr3:uid="{00000000-0010-0000-0000-000002000000}" name="Price"/>
    <tableColumn id="3" xr3:uid="{00000000-0010-0000-0000-000003000000}" name="# Rides"/>
    <tableColumn id="4" xr3:uid="{00000000-0010-0000-0000-000004000000}" name="Cost"/>
  </tableColumns>
  <tableStyleInfo name="Au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3DF47-2CB4-F14F-86BA-6AE082D8791B}" name="Table_42" displayName="Table_42" ref="O39:R43">
  <tableColumns count="4">
    <tableColumn id="1" xr3:uid="{D43D9B54-5A3F-DF43-8932-52444EA4F9A1}" name="Public Transit"/>
    <tableColumn id="2" xr3:uid="{04868B10-7A77-3243-8901-FA172385C035}" name="Price"/>
    <tableColumn id="3" xr3:uid="{628494AA-D39C-2F49-BE5B-CCCB7F1E8A91}" name="# Rides"/>
    <tableColumn id="4" xr3:uid="{E27025BB-E3D8-864A-A69C-91FBDC4F3CA8}" name="Cost"/>
  </tableColumns>
  <tableStyleInfo name="Au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C850DB-C424-1442-9246-6DFF10EB5B6A}" name="Table_423" displayName="Table_423" ref="O39:R43">
  <tableColumns count="4">
    <tableColumn id="1" xr3:uid="{3CAC4424-2BF9-864A-BFCE-BEBFC51C5627}" name="Public Transit"/>
    <tableColumn id="2" xr3:uid="{B1C3B944-F3D4-6C43-AB69-142250D6B351}" name="Price"/>
    <tableColumn id="3" xr3:uid="{3C3D0A5E-64E5-4040-B10B-EFB51E8C228F}" name="# Rides"/>
    <tableColumn id="4" xr3:uid="{1CB8984F-5C94-3E4C-8155-0C9D4B9DEA65}" name="Cost"/>
  </tableColumns>
  <tableStyleInfo name="Au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F29E552-C8ED-C948-A6F9-9AF422252761}" name="Table_4234" displayName="Table_4234" ref="O39:R43">
  <tableColumns count="4">
    <tableColumn id="1" xr3:uid="{493B844A-4322-8D47-B187-1E3B73B38C59}" name="Public Transit"/>
    <tableColumn id="2" xr3:uid="{5754469F-7B54-0E41-A848-F1AA9AA54D4D}" name="Price"/>
    <tableColumn id="3" xr3:uid="{E1D1915F-D6C1-DB4C-8D85-B4DE9788D600}" name="# Rides"/>
    <tableColumn id="4" xr3:uid="{D822C0D0-255B-DE46-8D20-9AD59815F5EA}" name="Cost"/>
  </tableColumns>
  <tableStyleInfo name="Aug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CE941B-A931-CA44-BC36-15AA31E89F62}" name="Table_42346" displayName="Table_42346" ref="O39:R43">
  <tableColumns count="4">
    <tableColumn id="1" xr3:uid="{55DA7FE2-B19E-884F-9A7D-F57A12E09BD0}" name="Public Transit"/>
    <tableColumn id="2" xr3:uid="{E1DDFE98-FD69-5F4E-A293-C5415373000E}" name="Price"/>
    <tableColumn id="3" xr3:uid="{3BDC5576-D189-8547-ABC8-FC062B467C21}" name="# Rides"/>
    <tableColumn id="4" xr3:uid="{87D0612C-DCBB-4C4B-9FAC-F2ACF8FDFCD9}" name="Cost"/>
  </tableColumns>
  <tableStyleInfo name="Aug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5C6AEE-4AE7-0341-9730-174724D41E7F}" name="Table_423467" displayName="Table_423467" ref="O39:R43">
  <tableColumns count="4">
    <tableColumn id="1" xr3:uid="{217B4481-2248-1644-8D8F-CE04EF952C57}" name="Public Transit"/>
    <tableColumn id="2" xr3:uid="{E4DF9092-0970-A74D-9F65-C91C7F48E91F}" name="Price"/>
    <tableColumn id="3" xr3:uid="{F06DE445-A3CE-C54E-BFD8-4CA2F3AA83F2}" name="# Rides"/>
    <tableColumn id="4" xr3:uid="{8F4ACBC1-BDA0-AD4B-B853-31CD2F44E8FC}" name="Cost"/>
  </tableColumns>
  <tableStyleInfo name="Aug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476492-79DA-4B40-BA16-6E852616FFC5}" name="Table_4234678" displayName="Table_4234678" ref="O39:R43">
  <tableColumns count="4">
    <tableColumn id="1" xr3:uid="{1AAD6567-8D17-754F-B7DF-34DD9A360543}" name="Public Transit"/>
    <tableColumn id="2" xr3:uid="{2D0F6C35-076F-D74C-859A-A116E67B3E6C}" name="Price"/>
    <tableColumn id="3" xr3:uid="{5FA34A60-07CB-874E-97A8-79DC8724DC3A}" name="# Rides"/>
    <tableColumn id="4" xr3:uid="{47DDEF82-79AF-8341-95F6-CDAB82DDE6A3}" name="Cost"/>
  </tableColumns>
  <tableStyleInfo name="Aug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C6A1B1C-E509-9240-AD12-56719668B92E}" name="Table_42346789" displayName="Table_42346789" ref="O39:R43">
  <tableColumns count="4">
    <tableColumn id="1" xr3:uid="{7685EBB9-2A7A-944B-9901-F4F42A05CFDA}" name="Public Transit"/>
    <tableColumn id="2" xr3:uid="{976E13FE-3E16-6945-BD75-2C5489A567D7}" name="Price"/>
    <tableColumn id="3" xr3:uid="{CE939435-DB26-494E-BB2C-203153B4F159}" name="# Rides"/>
    <tableColumn id="4" xr3:uid="{A4F1B546-6DD1-B94A-861E-72C8698B0ADD}" name="Cost"/>
  </tableColumns>
  <tableStyleInfo name="Aug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94AD9A-A45E-4C4B-BDC1-85E58BE4FE2C}" name="Table_4234678910" displayName="Table_4234678910" ref="O39:R43">
  <tableColumns count="4">
    <tableColumn id="1" xr3:uid="{006EF728-C287-5646-8A94-BAE9C7805C62}" name="Public Transit"/>
    <tableColumn id="2" xr3:uid="{B5C3B0E5-9807-E64D-AF16-C3A3B7D74E69}" name="Price"/>
    <tableColumn id="3" xr3:uid="{7CBF7037-7EE4-1C4A-9CDC-A27FF48360A9}" name="# Rides"/>
    <tableColumn id="4" xr3:uid="{4B4E3225-3B96-DE47-AA91-EFB861BF423D}" name="Cost"/>
  </tableColumns>
  <tableStyleInfo name="Aug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312EAB-FE39-6B41-BB92-EA040586382E}" name="Table_423467891011" displayName="Table_423467891011" ref="O39:R43">
  <tableColumns count="4">
    <tableColumn id="1" xr3:uid="{17640CAA-93CF-B44F-922C-756B9C553C88}" name="Public Transit"/>
    <tableColumn id="2" xr3:uid="{BDD6299E-5DDE-F141-8245-2A21B7ABEE8A}" name="Price"/>
    <tableColumn id="3" xr3:uid="{57BDBD72-5E2C-D747-9533-F37E95659D62}" name="# Rides"/>
    <tableColumn id="4" xr3:uid="{9C45ABAD-BBF8-E447-A624-754A035A2289}" name="Cost"/>
  </tableColumns>
  <tableStyleInfo name="Aug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5F8666A-BAD7-2241-A988-E080405148D2}" name="Table_42346789101112" displayName="Table_42346789101112" ref="O39:R43">
  <tableColumns count="4">
    <tableColumn id="1" xr3:uid="{F66AA067-49DB-E849-B256-74795916F7F1}" name="Public Transit"/>
    <tableColumn id="2" xr3:uid="{D5F51694-9A57-7346-9A5F-466E861A07CE}" name="Price"/>
    <tableColumn id="3" xr3:uid="{054D7302-D83A-864B-A96F-EDB3B4A27291}" name="# Rides"/>
    <tableColumn id="4" xr3:uid="{939193E8-B0F9-3546-83A8-AB12B02E8B6E}" name="Cost"/>
  </tableColumns>
  <tableStyleInfo name="Aug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09432C4-9EAF-CB4A-810A-1C98295B1052}" name="Table_4234678910111213" displayName="Table_4234678910111213" ref="O39:R43">
  <tableColumns count="4">
    <tableColumn id="1" xr3:uid="{BDB559DF-5C19-3A4F-B2D9-EEC6104FABCB}" name="Public Transit"/>
    <tableColumn id="2" xr3:uid="{A55069A6-0517-3D4B-82FB-3C1D13EBD930}" name="Price"/>
    <tableColumn id="3" xr3:uid="{2312A479-DC72-F34A-A609-0968CA6A46A3}" name="# Rides"/>
    <tableColumn id="4" xr3:uid="{DD5F0F45-84D4-2D46-8F26-E88F789B29E7}" name="Cost"/>
  </tableColumns>
  <tableStyleInfo name="Au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91BD30"/>
      </a:accent1>
      <a:accent2>
        <a:srgbClr val="EB6982"/>
      </a:accent2>
      <a:accent3>
        <a:srgbClr val="40B0C2"/>
      </a:accent3>
      <a:accent4>
        <a:srgbClr val="E6C73D"/>
      </a:accent4>
      <a:accent5>
        <a:srgbClr val="A68C75"/>
      </a:accent5>
      <a:accent6>
        <a:srgbClr val="A64F8F"/>
      </a:accent6>
      <a:hlink>
        <a:srgbClr val="40B0C2"/>
      </a:hlink>
      <a:folHlink>
        <a:srgbClr val="40B0C2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V51"/>
  <sheetViews>
    <sheetView tabSelected="1" zoomScale="89" workbookViewId="0">
      <selection activeCell="J41" sqref="J41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31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5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>
        <v>46023</v>
      </c>
      <c r="B5" s="61" t="s">
        <v>47</v>
      </c>
      <c r="C5" s="61" t="s">
        <v>12</v>
      </c>
      <c r="D5" s="62">
        <v>4000</v>
      </c>
      <c r="E5" s="60">
        <v>46027</v>
      </c>
      <c r="F5" s="61" t="s">
        <v>48</v>
      </c>
      <c r="G5" s="61" t="s">
        <v>19</v>
      </c>
      <c r="H5" s="62">
        <v>25</v>
      </c>
      <c r="I5" s="60">
        <v>46032</v>
      </c>
      <c r="J5" s="61" t="s">
        <v>50</v>
      </c>
      <c r="K5" s="61" t="s">
        <v>14</v>
      </c>
      <c r="L5" s="62">
        <v>45</v>
      </c>
      <c r="N5" s="60">
        <v>46026</v>
      </c>
      <c r="O5" s="61" t="s">
        <v>51</v>
      </c>
      <c r="P5" s="62">
        <v>5000</v>
      </c>
      <c r="Q5" s="60">
        <v>46024</v>
      </c>
      <c r="R5" s="61" t="s">
        <v>52</v>
      </c>
      <c r="S5" s="62">
        <v>15</v>
      </c>
    </row>
    <row r="6" spans="1:20">
      <c r="A6" s="63">
        <v>46023</v>
      </c>
      <c r="B6" s="64" t="s">
        <v>15</v>
      </c>
      <c r="C6" s="64" t="s">
        <v>16</v>
      </c>
      <c r="D6" s="65">
        <v>50</v>
      </c>
      <c r="E6" s="63">
        <v>46029</v>
      </c>
      <c r="F6" s="64" t="s">
        <v>49</v>
      </c>
      <c r="G6" s="64" t="s">
        <v>17</v>
      </c>
      <c r="H6" s="65">
        <v>45</v>
      </c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>
        <v>46037</v>
      </c>
      <c r="F7" s="64" t="s">
        <v>53</v>
      </c>
      <c r="G7" s="64" t="s">
        <v>54</v>
      </c>
      <c r="H7" s="65">
        <v>200</v>
      </c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4050</v>
      </c>
      <c r="E35" s="40" t="s">
        <v>18</v>
      </c>
      <c r="F35" s="41"/>
      <c r="G35" s="41"/>
      <c r="H35" s="10">
        <f>SUM(H5:H34)</f>
        <v>270</v>
      </c>
      <c r="I35" s="40" t="s">
        <v>18</v>
      </c>
      <c r="J35" s="41"/>
      <c r="K35" s="41"/>
      <c r="L35" s="11">
        <f>SUBTOTAL(109,Jan!$L$5:$L$34)</f>
        <v>45</v>
      </c>
      <c r="M35" s="12"/>
      <c r="N35" s="40" t="s">
        <v>18</v>
      </c>
      <c r="O35" s="41"/>
      <c r="P35" s="11">
        <f>SUM(P5:P34)</f>
        <v>5000</v>
      </c>
      <c r="Q35" s="40" t="s">
        <v>18</v>
      </c>
      <c r="R35" s="41"/>
      <c r="S35" s="13">
        <f>SUM(S5:S34)</f>
        <v>15</v>
      </c>
      <c r="V35" s="14"/>
    </row>
    <row r="37" spans="1:22" ht="20">
      <c r="A37" s="15" t="s">
        <v>20</v>
      </c>
      <c r="B37" s="16"/>
      <c r="C37" s="16">
        <v>0</v>
      </c>
      <c r="R37" s="15" t="s">
        <v>21</v>
      </c>
      <c r="S37" s="16">
        <f>C37+(P35+S35)-(D35+H35+L35)</f>
        <v>650</v>
      </c>
    </row>
    <row r="38" spans="1:22">
      <c r="H38" s="14"/>
      <c r="P38" s="14"/>
    </row>
    <row r="39" spans="1:22" ht="20">
      <c r="A39" s="9" t="s">
        <v>22</v>
      </c>
      <c r="B39" s="14">
        <f>P35+S35</f>
        <v>5015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4365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650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Q35:R35"/>
    <mergeCell ref="A1:S1"/>
    <mergeCell ref="A2:L2"/>
    <mergeCell ref="N2:S2"/>
    <mergeCell ref="E3:H3"/>
    <mergeCell ref="I3:L3"/>
    <mergeCell ref="N3:P3"/>
    <mergeCell ref="Q3:S3"/>
    <mergeCell ref="A3:D3"/>
    <mergeCell ref="A35:C35"/>
    <mergeCell ref="E35:G35"/>
    <mergeCell ref="I35:K35"/>
    <mergeCell ref="N35:O35"/>
  </mergeCells>
  <conditionalFormatting sqref="A5:L34 N5:S34">
    <cfRule type="expression" dxfId="16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AE278-B28C-9842-B9D7-A326CDD7D7BA}">
  <sheetPr>
    <tabColor theme="5"/>
  </sheetPr>
  <dimension ref="A1:V51"/>
  <sheetViews>
    <sheetView topLeftCell="A21" zoomScale="89" workbookViewId="0">
      <selection activeCell="H29" sqref="H29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SUBTOTAL(109,Feb!$L$5:$L$34)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Jan!S37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15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F2BB-9F12-6B40-8548-E7DD7C0830D6}">
  <sheetPr>
    <tabColor theme="6" tint="0.79998168889431442"/>
  </sheetPr>
  <dimension ref="A1:V51"/>
  <sheetViews>
    <sheetView zoomScale="89" workbookViewId="0">
      <selection activeCell="L19" sqref="L19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33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SUBTOTAL(109,Mar!$L$5:$L$34)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Feb!S37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14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2EED-A54E-FA4F-A559-89904BB6B7CD}">
  <sheetPr>
    <tabColor rgb="FF00B050"/>
  </sheetPr>
  <dimension ref="A1:V51"/>
  <sheetViews>
    <sheetView topLeftCell="A12" zoomScale="89" workbookViewId="0">
      <selection activeCell="L5" sqref="L5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34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SUBTOTAL(109,Apr!$L$5:$L$34)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Mar!S37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13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CB95-DF52-1146-84FF-21DAACEB51C7}">
  <sheetPr>
    <tabColor theme="7" tint="0.39997558519241921"/>
  </sheetPr>
  <dimension ref="A1:V51"/>
  <sheetViews>
    <sheetView zoomScale="89" workbookViewId="0">
      <selection activeCell="C38" sqref="C38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35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SUBTOTAL(109,May!$L$5:$L$34)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Apr!S37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12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FC19-F335-244D-B94A-EAFE695DF6F6}">
  <sheetPr>
    <tabColor rgb="FF0070C0"/>
  </sheetPr>
  <dimension ref="A1:V51"/>
  <sheetViews>
    <sheetView zoomScale="89" workbookViewId="0">
      <selection activeCell="C38" sqref="C38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36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SUBTOTAL(109,Jun!$L$5:$L$34)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May!S37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11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B64B5-F763-7941-BFC3-20199BEDF2C4}">
  <sheetPr>
    <tabColor rgb="FF00B0F0"/>
  </sheetPr>
  <dimension ref="A1:V51"/>
  <sheetViews>
    <sheetView zoomScale="89" workbookViewId="0">
      <selection activeCell="C38" sqref="C38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SUBTOTAL(109,Jul!$L$5:$L$34)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Jun!S37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10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D1B7-DA9E-8145-8A3B-38822F73E421}">
  <sheetPr>
    <tabColor rgb="FFFFFF00"/>
  </sheetPr>
  <dimension ref="A1:V51"/>
  <sheetViews>
    <sheetView zoomScale="89" workbookViewId="0">
      <selection activeCell="C38" sqref="C38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38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SUBTOTAL(109,Aug!$L$5:$L$34)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Jul!S37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9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AD10-0D98-4442-A32B-E45734113126}">
  <sheetPr>
    <tabColor rgb="FFC00000"/>
  </sheetPr>
  <dimension ref="A1:V51"/>
  <sheetViews>
    <sheetView zoomScale="89" workbookViewId="0">
      <selection activeCell="C38" sqref="C38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39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SUBTOTAL(109,Sep!$L$5:$L$34)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Aug!S37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8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10DA9-8E3A-304A-88C1-38D3784675E1}">
  <sheetPr>
    <tabColor rgb="FFFFC000"/>
  </sheetPr>
  <dimension ref="A1:V51"/>
  <sheetViews>
    <sheetView zoomScale="89" workbookViewId="0">
      <selection activeCell="C38" sqref="C38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40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SUBTOTAL(109,Oct!$L$5:$L$34)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Sep!S37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7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D21A1-0401-214E-86B9-8FBDDA0BF3BE}">
  <sheetPr>
    <tabColor theme="8"/>
  </sheetPr>
  <dimension ref="A1:V51"/>
  <sheetViews>
    <sheetView zoomScale="89" workbookViewId="0">
      <selection activeCell="C38" sqref="C38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41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SUBTOTAL(109,Nov!$L$5:$L$34)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Oct!S37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6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CB475-FE0A-264D-B8D5-C84847CF8686}">
  <sheetPr>
    <tabColor theme="6"/>
  </sheetPr>
  <dimension ref="A1:V51"/>
  <sheetViews>
    <sheetView zoomScale="89" workbookViewId="0">
      <selection activeCell="C38" sqref="C38"/>
    </sheetView>
  </sheetViews>
  <sheetFormatPr baseColWidth="10" defaultColWidth="10.140625" defaultRowHeight="16"/>
  <cols>
    <col min="1" max="1" width="10.7109375" customWidth="1"/>
    <col min="2" max="2" width="20.42578125" customWidth="1"/>
    <col min="3" max="3" width="11.85546875" customWidth="1"/>
    <col min="4" max="5" width="10.7109375" customWidth="1"/>
    <col min="6" max="6" width="18.7109375" customWidth="1"/>
    <col min="7" max="7" width="16.28515625" customWidth="1"/>
    <col min="8" max="9" width="10.7109375" customWidth="1"/>
    <col min="10" max="10" width="27.42578125" customWidth="1"/>
    <col min="11" max="11" width="11" customWidth="1"/>
    <col min="12" max="12" width="10.7109375" customWidth="1"/>
    <col min="13" max="13" width="5.7109375" customWidth="1"/>
    <col min="14" max="14" width="10.7109375" customWidth="1"/>
    <col min="15" max="15" width="20" customWidth="1"/>
    <col min="16" max="16" width="11" customWidth="1"/>
    <col min="17" max="17" width="10.7109375" customWidth="1"/>
    <col min="18" max="18" width="22.85546875" customWidth="1"/>
    <col min="19" max="19" width="12.5703125" customWidth="1"/>
    <col min="20" max="20" width="10.7109375" customWidth="1"/>
    <col min="21" max="21" width="21.5703125" customWidth="1"/>
    <col min="22" max="27" width="10.7109375" customWidth="1"/>
  </cols>
  <sheetData>
    <row r="1" spans="1:20" ht="37">
      <c r="A1" s="42" t="s">
        <v>42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4"/>
    </row>
    <row r="2" spans="1:20" ht="26" thickBot="1">
      <c r="A2" s="45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7"/>
      <c r="M2" s="1"/>
      <c r="N2" s="48" t="s">
        <v>1</v>
      </c>
      <c r="O2" s="49"/>
      <c r="P2" s="49"/>
      <c r="Q2" s="49"/>
      <c r="R2" s="49"/>
      <c r="S2" s="50"/>
    </row>
    <row r="3" spans="1:20" ht="23">
      <c r="A3" s="37" t="s">
        <v>2</v>
      </c>
      <c r="B3" s="38"/>
      <c r="C3" s="38"/>
      <c r="D3" s="39"/>
      <c r="E3" s="37" t="s">
        <v>3</v>
      </c>
      <c r="F3" s="38"/>
      <c r="G3" s="38"/>
      <c r="H3" s="39"/>
      <c r="I3" s="37" t="s">
        <v>4</v>
      </c>
      <c r="J3" s="38"/>
      <c r="K3" s="38"/>
      <c r="L3" s="39"/>
      <c r="M3" s="1"/>
      <c r="N3" s="37" t="s">
        <v>5</v>
      </c>
      <c r="O3" s="38"/>
      <c r="P3" s="39"/>
      <c r="Q3" s="37" t="s">
        <v>6</v>
      </c>
      <c r="R3" s="38"/>
      <c r="S3" s="39"/>
    </row>
    <row r="4" spans="1:20">
      <c r="A4" s="2" t="s">
        <v>7</v>
      </c>
      <c r="B4" s="3" t="s">
        <v>8</v>
      </c>
      <c r="C4" s="3" t="s">
        <v>9</v>
      </c>
      <c r="D4" s="4" t="s">
        <v>10</v>
      </c>
      <c r="E4" s="5" t="s">
        <v>7</v>
      </c>
      <c r="F4" s="6" t="s">
        <v>8</v>
      </c>
      <c r="G4" s="6" t="s">
        <v>9</v>
      </c>
      <c r="H4" s="7" t="s">
        <v>10</v>
      </c>
      <c r="I4" s="5" t="s">
        <v>7</v>
      </c>
      <c r="J4" s="6" t="s">
        <v>8</v>
      </c>
      <c r="K4" s="6" t="s">
        <v>9</v>
      </c>
      <c r="L4" s="7" t="s">
        <v>10</v>
      </c>
      <c r="N4" s="5" t="s">
        <v>7</v>
      </c>
      <c r="O4" s="6" t="s">
        <v>8</v>
      </c>
      <c r="P4" s="7" t="s">
        <v>11</v>
      </c>
      <c r="Q4" s="5" t="s">
        <v>7</v>
      </c>
      <c r="R4" s="6" t="s">
        <v>8</v>
      </c>
      <c r="S4" s="7" t="s">
        <v>11</v>
      </c>
      <c r="T4" s="8"/>
    </row>
    <row r="5" spans="1:20">
      <c r="A5" s="60"/>
      <c r="B5" s="61"/>
      <c r="C5" s="61"/>
      <c r="D5" s="62"/>
      <c r="E5" s="60"/>
      <c r="F5" s="61"/>
      <c r="G5" s="61"/>
      <c r="H5" s="62"/>
      <c r="I5" s="60"/>
      <c r="J5" s="61"/>
      <c r="K5" s="61"/>
      <c r="L5" s="62"/>
      <c r="N5" s="60"/>
      <c r="O5" s="61"/>
      <c r="P5" s="62"/>
      <c r="Q5" s="60"/>
      <c r="R5" s="61"/>
      <c r="S5" s="62"/>
    </row>
    <row r="6" spans="1:20">
      <c r="A6" s="63"/>
      <c r="B6" s="64"/>
      <c r="C6" s="64"/>
      <c r="D6" s="65"/>
      <c r="E6" s="63"/>
      <c r="F6" s="64"/>
      <c r="G6" s="64"/>
      <c r="H6" s="65"/>
      <c r="I6" s="63"/>
      <c r="J6" s="64"/>
      <c r="K6" s="64"/>
      <c r="L6" s="65"/>
      <c r="N6" s="63"/>
      <c r="O6" s="64"/>
      <c r="P6" s="65"/>
      <c r="Q6" s="63"/>
      <c r="R6" s="64"/>
      <c r="S6" s="65"/>
    </row>
    <row r="7" spans="1:20">
      <c r="A7" s="63"/>
      <c r="B7" s="64"/>
      <c r="C7" s="64"/>
      <c r="D7" s="65"/>
      <c r="E7" s="63"/>
      <c r="F7" s="64"/>
      <c r="G7" s="64"/>
      <c r="H7" s="65"/>
      <c r="I7" s="63"/>
      <c r="J7" s="64"/>
      <c r="K7" s="64"/>
      <c r="L7" s="65"/>
      <c r="N7" s="63"/>
      <c r="O7" s="64"/>
      <c r="P7" s="65"/>
      <c r="Q7" s="63"/>
      <c r="R7" s="64"/>
      <c r="S7" s="65"/>
    </row>
    <row r="8" spans="1:20">
      <c r="A8" s="63"/>
      <c r="B8" s="64"/>
      <c r="C8" s="64"/>
      <c r="D8" s="65"/>
      <c r="E8" s="63"/>
      <c r="F8" s="64"/>
      <c r="G8" s="64"/>
      <c r="H8" s="65"/>
      <c r="I8" s="63"/>
      <c r="J8" s="64"/>
      <c r="K8" s="64"/>
      <c r="L8" s="65"/>
      <c r="N8" s="63"/>
      <c r="O8" s="64"/>
      <c r="P8" s="65"/>
      <c r="Q8" s="63"/>
      <c r="R8" s="64"/>
      <c r="S8" s="65"/>
    </row>
    <row r="9" spans="1:20">
      <c r="A9" s="63"/>
      <c r="B9" s="64"/>
      <c r="C9" s="64"/>
      <c r="D9" s="65"/>
      <c r="E9" s="63"/>
      <c r="F9" s="64"/>
      <c r="G9" s="64"/>
      <c r="H9" s="65"/>
      <c r="I9" s="63"/>
      <c r="J9" s="64"/>
      <c r="K9" s="64"/>
      <c r="L9" s="65"/>
      <c r="N9" s="63"/>
      <c r="O9" s="64"/>
      <c r="P9" s="65"/>
      <c r="Q9" s="63"/>
      <c r="R9" s="64"/>
      <c r="S9" s="65"/>
    </row>
    <row r="10" spans="1:20">
      <c r="A10" s="63"/>
      <c r="B10" s="64"/>
      <c r="C10" s="64"/>
      <c r="D10" s="65"/>
      <c r="E10" s="63"/>
      <c r="F10" s="64"/>
      <c r="G10" s="64"/>
      <c r="H10" s="65"/>
      <c r="I10" s="63"/>
      <c r="J10" s="64"/>
      <c r="K10" s="64"/>
      <c r="L10" s="65"/>
      <c r="N10" s="63"/>
      <c r="O10" s="64"/>
      <c r="P10" s="65"/>
      <c r="Q10" s="63"/>
      <c r="R10" s="64"/>
      <c r="S10" s="65"/>
    </row>
    <row r="11" spans="1:20">
      <c r="A11" s="63"/>
      <c r="B11" s="64"/>
      <c r="C11" s="64"/>
      <c r="D11" s="65"/>
      <c r="E11" s="63"/>
      <c r="F11" s="64"/>
      <c r="G11" s="64"/>
      <c r="H11" s="65"/>
      <c r="I11" s="63"/>
      <c r="J11" s="64"/>
      <c r="K11" s="64"/>
      <c r="L11" s="65"/>
      <c r="N11" s="63"/>
      <c r="O11" s="64"/>
      <c r="P11" s="65"/>
      <c r="Q11" s="63"/>
      <c r="R11" s="64"/>
      <c r="S11" s="65"/>
    </row>
    <row r="12" spans="1:20">
      <c r="A12" s="63"/>
      <c r="B12" s="64"/>
      <c r="C12" s="64"/>
      <c r="D12" s="65"/>
      <c r="E12" s="63"/>
      <c r="F12" s="64"/>
      <c r="G12" s="64"/>
      <c r="H12" s="65"/>
      <c r="I12" s="63"/>
      <c r="J12" s="64"/>
      <c r="K12" s="64"/>
      <c r="L12" s="65"/>
      <c r="N12" s="63"/>
      <c r="O12" s="64"/>
      <c r="P12" s="65"/>
      <c r="Q12" s="63"/>
      <c r="R12" s="64"/>
      <c r="S12" s="65"/>
    </row>
    <row r="13" spans="1:20">
      <c r="A13" s="63"/>
      <c r="B13" s="64"/>
      <c r="C13" s="64"/>
      <c r="D13" s="65"/>
      <c r="E13" s="63"/>
      <c r="F13" s="64"/>
      <c r="G13" s="64"/>
      <c r="H13" s="65"/>
      <c r="I13" s="63"/>
      <c r="J13" s="64"/>
      <c r="K13" s="64"/>
      <c r="L13" s="65"/>
      <c r="N13" s="63"/>
      <c r="O13" s="64"/>
      <c r="P13" s="65"/>
      <c r="Q13" s="63"/>
      <c r="R13" s="64"/>
      <c r="S13" s="65"/>
    </row>
    <row r="14" spans="1:20">
      <c r="A14" s="63"/>
      <c r="B14" s="64"/>
      <c r="C14" s="64"/>
      <c r="D14" s="65"/>
      <c r="E14" s="63"/>
      <c r="F14" s="64"/>
      <c r="G14" s="64"/>
      <c r="H14" s="65"/>
      <c r="I14" s="63"/>
      <c r="J14" s="64"/>
      <c r="K14" s="64"/>
      <c r="L14" s="65"/>
      <c r="N14" s="63"/>
      <c r="O14" s="64"/>
      <c r="P14" s="65"/>
      <c r="Q14" s="63"/>
      <c r="R14" s="64"/>
      <c r="S14" s="65"/>
    </row>
    <row r="15" spans="1:20">
      <c r="A15" s="63"/>
      <c r="B15" s="64"/>
      <c r="C15" s="64"/>
      <c r="D15" s="65"/>
      <c r="E15" s="63"/>
      <c r="F15" s="64"/>
      <c r="G15" s="64"/>
      <c r="H15" s="65"/>
      <c r="I15" s="63"/>
      <c r="J15" s="69"/>
      <c r="K15" s="64"/>
      <c r="L15" s="65"/>
      <c r="N15" s="63"/>
      <c r="O15" s="64"/>
      <c r="P15" s="65"/>
      <c r="Q15" s="63"/>
      <c r="R15" s="64"/>
      <c r="S15" s="65"/>
    </row>
    <row r="16" spans="1:20">
      <c r="A16" s="63"/>
      <c r="B16" s="64"/>
      <c r="C16" s="64"/>
      <c r="D16" s="65"/>
      <c r="E16" s="63"/>
      <c r="F16" s="64"/>
      <c r="G16" s="64"/>
      <c r="H16" s="65"/>
      <c r="I16" s="63"/>
      <c r="J16" s="64"/>
      <c r="K16" s="64"/>
      <c r="L16" s="65"/>
      <c r="N16" s="63"/>
      <c r="O16" s="64"/>
      <c r="P16" s="65"/>
      <c r="Q16" s="63"/>
      <c r="R16" s="64"/>
      <c r="S16" s="65"/>
    </row>
    <row r="17" spans="1:19">
      <c r="A17" s="63"/>
      <c r="B17" s="64"/>
      <c r="C17" s="64"/>
      <c r="D17" s="65"/>
      <c r="E17" s="63"/>
      <c r="F17" s="64"/>
      <c r="G17" s="64"/>
      <c r="H17" s="65"/>
      <c r="I17" s="63"/>
      <c r="J17" s="64"/>
      <c r="K17" s="64"/>
      <c r="L17" s="65"/>
      <c r="N17" s="63"/>
      <c r="O17" s="64"/>
      <c r="P17" s="65"/>
      <c r="Q17" s="63"/>
      <c r="R17" s="64"/>
      <c r="S17" s="65"/>
    </row>
    <row r="18" spans="1:19">
      <c r="A18" s="63"/>
      <c r="B18" s="64"/>
      <c r="C18" s="64"/>
      <c r="D18" s="65"/>
      <c r="E18" s="63"/>
      <c r="F18" s="64"/>
      <c r="G18" s="64"/>
      <c r="H18" s="65"/>
      <c r="I18" s="63"/>
      <c r="J18" s="64"/>
      <c r="K18" s="64"/>
      <c r="L18" s="65"/>
      <c r="N18" s="63"/>
      <c r="O18" s="64"/>
      <c r="P18" s="65"/>
      <c r="Q18" s="63"/>
      <c r="R18" s="64"/>
      <c r="S18" s="65"/>
    </row>
    <row r="19" spans="1:19">
      <c r="A19" s="63"/>
      <c r="B19" s="64"/>
      <c r="C19" s="64"/>
      <c r="D19" s="65"/>
      <c r="E19" s="63"/>
      <c r="F19" s="64"/>
      <c r="G19" s="64"/>
      <c r="H19" s="65"/>
      <c r="I19" s="63"/>
      <c r="J19" s="64"/>
      <c r="K19" s="64"/>
      <c r="L19" s="65"/>
      <c r="N19" s="63"/>
      <c r="O19" s="64"/>
      <c r="P19" s="65"/>
      <c r="Q19" s="63"/>
      <c r="R19" s="64"/>
      <c r="S19" s="65"/>
    </row>
    <row r="20" spans="1:19">
      <c r="A20" s="63"/>
      <c r="B20" s="64"/>
      <c r="C20" s="64"/>
      <c r="D20" s="65"/>
      <c r="E20" s="63"/>
      <c r="F20" s="64"/>
      <c r="G20" s="64"/>
      <c r="H20" s="65"/>
      <c r="I20" s="63"/>
      <c r="J20" s="64"/>
      <c r="K20" s="64"/>
      <c r="L20" s="65"/>
      <c r="N20" s="63"/>
      <c r="O20" s="64"/>
      <c r="P20" s="65"/>
      <c r="Q20" s="63"/>
      <c r="R20" s="64"/>
      <c r="S20" s="65"/>
    </row>
    <row r="21" spans="1:19">
      <c r="A21" s="63"/>
      <c r="B21" s="64"/>
      <c r="C21" s="64"/>
      <c r="D21" s="65"/>
      <c r="E21" s="63"/>
      <c r="F21" s="64"/>
      <c r="G21" s="64"/>
      <c r="H21" s="65"/>
      <c r="I21" s="63"/>
      <c r="J21" s="64"/>
      <c r="K21" s="64"/>
      <c r="L21" s="65"/>
      <c r="N21" s="63"/>
      <c r="O21" s="64"/>
      <c r="P21" s="65"/>
      <c r="Q21" s="63"/>
      <c r="R21" s="64"/>
      <c r="S21" s="65"/>
    </row>
    <row r="22" spans="1:19">
      <c r="A22" s="63"/>
      <c r="B22" s="64"/>
      <c r="C22" s="64"/>
      <c r="D22" s="65"/>
      <c r="E22" s="63"/>
      <c r="F22" s="64"/>
      <c r="G22" s="64"/>
      <c r="H22" s="65"/>
      <c r="I22" s="63"/>
      <c r="J22" s="64"/>
      <c r="K22" s="64"/>
      <c r="L22" s="65"/>
      <c r="N22" s="63"/>
      <c r="O22" s="64"/>
      <c r="P22" s="65"/>
      <c r="Q22" s="63"/>
      <c r="R22" s="64"/>
      <c r="S22" s="65"/>
    </row>
    <row r="23" spans="1:19">
      <c r="A23" s="63"/>
      <c r="B23" s="64"/>
      <c r="C23" s="64"/>
      <c r="D23" s="65"/>
      <c r="E23" s="63"/>
      <c r="F23" s="64"/>
      <c r="G23" s="64"/>
      <c r="H23" s="65"/>
      <c r="I23" s="63"/>
      <c r="J23" s="64"/>
      <c r="K23" s="64"/>
      <c r="L23" s="65"/>
      <c r="N23" s="63"/>
      <c r="O23" s="64"/>
      <c r="P23" s="65"/>
      <c r="Q23" s="63"/>
      <c r="R23" s="64"/>
      <c r="S23" s="65"/>
    </row>
    <row r="24" spans="1:19">
      <c r="A24" s="63"/>
      <c r="B24" s="64"/>
      <c r="C24" s="64"/>
      <c r="D24" s="65"/>
      <c r="E24" s="63"/>
      <c r="F24" s="64"/>
      <c r="G24" s="64"/>
      <c r="H24" s="65"/>
      <c r="I24" s="63"/>
      <c r="J24" s="64"/>
      <c r="K24" s="64"/>
      <c r="L24" s="65"/>
      <c r="N24" s="63"/>
      <c r="O24" s="64"/>
      <c r="P24" s="65"/>
      <c r="Q24" s="63"/>
      <c r="R24" s="64"/>
      <c r="S24" s="65"/>
    </row>
    <row r="25" spans="1:19">
      <c r="A25" s="63"/>
      <c r="B25" s="64"/>
      <c r="C25" s="64"/>
      <c r="D25" s="65"/>
      <c r="E25" s="63"/>
      <c r="F25" s="64"/>
      <c r="G25" s="64"/>
      <c r="H25" s="65"/>
      <c r="I25" s="63"/>
      <c r="J25" s="64"/>
      <c r="K25" s="64"/>
      <c r="L25" s="65"/>
      <c r="N25" s="63"/>
      <c r="O25" s="64"/>
      <c r="P25" s="65"/>
      <c r="Q25" s="63"/>
      <c r="R25" s="64"/>
      <c r="S25" s="65"/>
    </row>
    <row r="26" spans="1:19">
      <c r="A26" s="63"/>
      <c r="B26" s="64"/>
      <c r="C26" s="64"/>
      <c r="D26" s="65"/>
      <c r="E26" s="63"/>
      <c r="F26" s="64"/>
      <c r="G26" s="64"/>
      <c r="H26" s="65"/>
      <c r="I26" s="63"/>
      <c r="J26" s="64"/>
      <c r="K26" s="64"/>
      <c r="L26" s="65"/>
      <c r="N26" s="63"/>
      <c r="O26" s="64"/>
      <c r="P26" s="65"/>
      <c r="Q26" s="63"/>
      <c r="R26" s="64"/>
      <c r="S26" s="65"/>
    </row>
    <row r="27" spans="1:19">
      <c r="A27" s="63"/>
      <c r="B27" s="64"/>
      <c r="C27" s="64"/>
      <c r="D27" s="65"/>
      <c r="E27" s="63"/>
      <c r="F27" s="64"/>
      <c r="G27" s="64"/>
      <c r="H27" s="65"/>
      <c r="I27" s="63"/>
      <c r="J27" s="64"/>
      <c r="K27" s="64"/>
      <c r="L27" s="65"/>
      <c r="N27" s="63"/>
      <c r="O27" s="64"/>
      <c r="P27" s="65"/>
      <c r="Q27" s="63"/>
      <c r="R27" s="64"/>
      <c r="S27" s="65"/>
    </row>
    <row r="28" spans="1:19">
      <c r="A28" s="63"/>
      <c r="B28" s="64"/>
      <c r="C28" s="64"/>
      <c r="D28" s="65"/>
      <c r="E28" s="63"/>
      <c r="F28" s="64"/>
      <c r="G28" s="64"/>
      <c r="H28" s="65"/>
      <c r="I28" s="63"/>
      <c r="J28" s="64"/>
      <c r="K28" s="64"/>
      <c r="L28" s="65"/>
      <c r="N28" s="63"/>
      <c r="O28" s="64"/>
      <c r="P28" s="65"/>
      <c r="Q28" s="63"/>
      <c r="R28" s="64"/>
      <c r="S28" s="65"/>
    </row>
    <row r="29" spans="1:19">
      <c r="A29" s="63"/>
      <c r="B29" s="64"/>
      <c r="C29" s="64"/>
      <c r="D29" s="65"/>
      <c r="E29" s="63"/>
      <c r="F29" s="64"/>
      <c r="G29" s="64"/>
      <c r="H29" s="65"/>
      <c r="I29" s="63"/>
      <c r="J29" s="64"/>
      <c r="K29" s="64"/>
      <c r="L29" s="65"/>
      <c r="N29" s="63"/>
      <c r="O29" s="64"/>
      <c r="P29" s="65"/>
      <c r="Q29" s="63"/>
      <c r="R29" s="64"/>
      <c r="S29" s="65"/>
    </row>
    <row r="30" spans="1:19">
      <c r="A30" s="63"/>
      <c r="B30" s="64"/>
      <c r="C30" s="64"/>
      <c r="D30" s="65"/>
      <c r="E30" s="63"/>
      <c r="F30" s="64"/>
      <c r="G30" s="64"/>
      <c r="H30" s="65"/>
      <c r="I30" s="63"/>
      <c r="J30" s="64"/>
      <c r="K30" s="64"/>
      <c r="L30" s="65"/>
      <c r="N30" s="63"/>
      <c r="O30" s="64"/>
      <c r="P30" s="65"/>
      <c r="Q30" s="63"/>
      <c r="R30" s="64"/>
      <c r="S30" s="65"/>
    </row>
    <row r="31" spans="1:19">
      <c r="A31" s="63"/>
      <c r="B31" s="64"/>
      <c r="C31" s="64"/>
      <c r="D31" s="65"/>
      <c r="E31" s="63"/>
      <c r="F31" s="64"/>
      <c r="G31" s="64"/>
      <c r="H31" s="65"/>
      <c r="I31" s="63"/>
      <c r="J31" s="64"/>
      <c r="K31" s="64"/>
      <c r="L31" s="65"/>
      <c r="N31" s="63"/>
      <c r="O31" s="64"/>
      <c r="P31" s="65"/>
      <c r="Q31" s="63"/>
      <c r="R31" s="64"/>
      <c r="S31" s="65"/>
    </row>
    <row r="32" spans="1:19">
      <c r="A32" s="63"/>
      <c r="B32" s="64"/>
      <c r="C32" s="64"/>
      <c r="D32" s="65"/>
      <c r="E32" s="63"/>
      <c r="F32" s="64"/>
      <c r="G32" s="64"/>
      <c r="H32" s="65"/>
      <c r="I32" s="63"/>
      <c r="J32" s="64"/>
      <c r="K32" s="64"/>
      <c r="L32" s="65"/>
      <c r="N32" s="63"/>
      <c r="O32" s="64"/>
      <c r="P32" s="65"/>
      <c r="Q32" s="63"/>
      <c r="R32" s="64"/>
      <c r="S32" s="65"/>
    </row>
    <row r="33" spans="1:22">
      <c r="A33" s="63"/>
      <c r="B33" s="64"/>
      <c r="C33" s="64"/>
      <c r="D33" s="65"/>
      <c r="E33" s="63"/>
      <c r="F33" s="64"/>
      <c r="G33" s="64"/>
      <c r="H33" s="65"/>
      <c r="I33" s="63"/>
      <c r="J33" s="64"/>
      <c r="K33" s="64"/>
      <c r="L33" s="65"/>
      <c r="N33" s="63"/>
      <c r="O33" s="64"/>
      <c r="P33" s="65"/>
      <c r="Q33" s="63"/>
      <c r="R33" s="64"/>
      <c r="S33" s="65"/>
    </row>
    <row r="34" spans="1:22" ht="17" thickBot="1">
      <c r="A34" s="66"/>
      <c r="B34" s="67"/>
      <c r="C34" s="67"/>
      <c r="D34" s="68"/>
      <c r="E34" s="66"/>
      <c r="F34" s="67"/>
      <c r="G34" s="67"/>
      <c r="H34" s="68"/>
      <c r="I34" s="66"/>
      <c r="J34" s="67"/>
      <c r="K34" s="67"/>
      <c r="L34" s="68"/>
      <c r="N34" s="66"/>
      <c r="O34" s="67"/>
      <c r="P34" s="68"/>
      <c r="Q34" s="66"/>
      <c r="R34" s="67"/>
      <c r="S34" s="68"/>
    </row>
    <row r="35" spans="1:22">
      <c r="A35" s="55" t="s">
        <v>18</v>
      </c>
      <c r="B35" s="56"/>
      <c r="C35" s="56"/>
      <c r="D35" s="10">
        <f>SUM(D5:D34)</f>
        <v>0</v>
      </c>
      <c r="E35" s="40" t="s">
        <v>18</v>
      </c>
      <c r="F35" s="41"/>
      <c r="G35" s="41"/>
      <c r="H35" s="10">
        <f>SUM(H5:H34)</f>
        <v>0</v>
      </c>
      <c r="I35" s="40" t="s">
        <v>18</v>
      </c>
      <c r="J35" s="41"/>
      <c r="K35" s="41"/>
      <c r="L35" s="11">
        <f>SUBTOTAL(109,Dec!$L$5:$L$34)</f>
        <v>0</v>
      </c>
      <c r="M35" s="12"/>
      <c r="N35" s="40" t="s">
        <v>18</v>
      </c>
      <c r="O35" s="41"/>
      <c r="P35" s="11">
        <f>SUM(P5:P34)</f>
        <v>0</v>
      </c>
      <c r="Q35" s="40" t="s">
        <v>18</v>
      </c>
      <c r="R35" s="41"/>
      <c r="S35" s="13">
        <f>SUM(S5:S34)</f>
        <v>0</v>
      </c>
      <c r="V35" s="14"/>
    </row>
    <row r="37" spans="1:22" ht="21" thickBot="1">
      <c r="A37" s="15" t="s">
        <v>20</v>
      </c>
      <c r="B37" s="16"/>
      <c r="C37" s="16">
        <f>Nov!S37</f>
        <v>650</v>
      </c>
      <c r="R37" s="15" t="s">
        <v>21</v>
      </c>
      <c r="S37" s="16">
        <f>C37+(P35+S35)-(D35+H35+L35)</f>
        <v>650</v>
      </c>
    </row>
    <row r="38" spans="1:22" ht="17" thickTop="1">
      <c r="H38" s="14"/>
      <c r="P38" s="14"/>
    </row>
    <row r="39" spans="1:22" ht="20">
      <c r="A39" s="9" t="s">
        <v>22</v>
      </c>
      <c r="B39" s="14">
        <f>P35+S35</f>
        <v>0</v>
      </c>
      <c r="C39" s="14"/>
      <c r="O39" s="17" t="s">
        <v>13</v>
      </c>
      <c r="P39" s="18" t="s">
        <v>23</v>
      </c>
      <c r="Q39" s="70" t="s">
        <v>55</v>
      </c>
      <c r="R39" s="18" t="s">
        <v>10</v>
      </c>
    </row>
    <row r="40" spans="1:22" ht="18">
      <c r="A40" s="9" t="s">
        <v>24</v>
      </c>
      <c r="B40" s="14">
        <f>D35+H35+L35</f>
        <v>0</v>
      </c>
      <c r="C40" s="14"/>
      <c r="O40" s="57" t="s">
        <v>25</v>
      </c>
      <c r="P40" s="58">
        <v>3</v>
      </c>
      <c r="Q40" s="59">
        <v>0</v>
      </c>
      <c r="R40" s="58">
        <f t="shared" ref="R40:R42" si="0">P40*Q40</f>
        <v>0</v>
      </c>
    </row>
    <row r="41" spans="1:22" ht="18">
      <c r="A41" s="9" t="s">
        <v>26</v>
      </c>
      <c r="B41" s="14">
        <f>B39-B40</f>
        <v>0</v>
      </c>
      <c r="C41" s="14"/>
      <c r="O41" s="57" t="s">
        <v>27</v>
      </c>
      <c r="P41" s="58">
        <v>5.45</v>
      </c>
      <c r="Q41" s="59">
        <v>0</v>
      </c>
      <c r="R41" s="58">
        <f t="shared" si="0"/>
        <v>0</v>
      </c>
    </row>
    <row r="42" spans="1:22" ht="18">
      <c r="O42" s="57" t="s">
        <v>28</v>
      </c>
      <c r="P42" s="58">
        <v>3.5</v>
      </c>
      <c r="Q42" s="59">
        <v>0</v>
      </c>
      <c r="R42" s="58">
        <f t="shared" si="0"/>
        <v>0</v>
      </c>
    </row>
    <row r="43" spans="1:22" ht="20">
      <c r="K43" s="21"/>
      <c r="O43" s="22" t="s">
        <v>18</v>
      </c>
      <c r="P43" s="23"/>
      <c r="Q43" s="20">
        <f>SUBTOTAL(109,Q40:Q42)</f>
        <v>0</v>
      </c>
      <c r="R43" s="19">
        <f>SUM(R40:R42)</f>
        <v>0</v>
      </c>
    </row>
    <row r="44" spans="1:22">
      <c r="K44" s="21"/>
    </row>
    <row r="51" spans="11:11">
      <c r="K51" s="21"/>
    </row>
  </sheetData>
  <mergeCells count="13">
    <mergeCell ref="A35:C35"/>
    <mergeCell ref="E35:G35"/>
    <mergeCell ref="I35:K35"/>
    <mergeCell ref="N35:O35"/>
    <mergeCell ref="Q35:R35"/>
    <mergeCell ref="A1:S1"/>
    <mergeCell ref="A2:L2"/>
    <mergeCell ref="N2:S2"/>
    <mergeCell ref="A3:D3"/>
    <mergeCell ref="E3:H3"/>
    <mergeCell ref="I3:L3"/>
    <mergeCell ref="N3:P3"/>
    <mergeCell ref="Q3:S3"/>
  </mergeCells>
  <conditionalFormatting sqref="A5:L34 N5:S34">
    <cfRule type="expression" dxfId="5" priority="1">
      <formula>ISEVEN(ROW())</formula>
    </cfRule>
  </conditionalFormatting>
  <pageMargins left="0.7" right="0.7" top="0.75" bottom="0.75" header="0" footer="0"/>
  <pageSetup orientation="landscape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7" sqref="J27"/>
    </sheetView>
  </sheetViews>
  <sheetFormatPr baseColWidth="10" defaultColWidth="10.140625" defaultRowHeight="15" customHeight="1"/>
  <cols>
    <col min="1" max="1" width="27.7109375" customWidth="1"/>
    <col min="2" max="14" width="17.5703125" customWidth="1"/>
    <col min="15" max="26" width="10.7109375" customWidth="1"/>
  </cols>
  <sheetData>
    <row r="1" spans="1:26" ht="37">
      <c r="A1" s="52" t="s">
        <v>30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9"/>
    </row>
    <row r="2" spans="1:26" ht="32">
      <c r="A2" s="53" t="s">
        <v>56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4"/>
    </row>
    <row r="3" spans="1:26" ht="23">
      <c r="A3" s="25" t="s">
        <v>1</v>
      </c>
      <c r="B3" s="26" t="s">
        <v>31</v>
      </c>
      <c r="C3" s="26" t="s">
        <v>32</v>
      </c>
      <c r="D3" s="26" t="s">
        <v>33</v>
      </c>
      <c r="E3" s="26" t="s">
        <v>34</v>
      </c>
      <c r="F3" s="26" t="s">
        <v>35</v>
      </c>
      <c r="G3" s="26" t="s">
        <v>36</v>
      </c>
      <c r="H3" s="26" t="s">
        <v>37</v>
      </c>
      <c r="I3" s="26" t="s">
        <v>38</v>
      </c>
      <c r="J3" s="26" t="s">
        <v>39</v>
      </c>
      <c r="K3" s="26" t="s">
        <v>40</v>
      </c>
      <c r="L3" s="26" t="s">
        <v>41</v>
      </c>
      <c r="M3" s="26" t="s">
        <v>42</v>
      </c>
      <c r="N3" s="27" t="s">
        <v>18</v>
      </c>
    </row>
    <row r="4" spans="1:26" ht="20">
      <c r="A4" s="28" t="s">
        <v>5</v>
      </c>
      <c r="B4" s="71">
        <f>Jan!$P$35</f>
        <v>5000</v>
      </c>
      <c r="C4" s="71">
        <f>Feb!$P$35</f>
        <v>0</v>
      </c>
      <c r="D4" s="71">
        <f>Mar!$P$35</f>
        <v>0</v>
      </c>
      <c r="E4" s="71">
        <f>Apr!$P$35</f>
        <v>0</v>
      </c>
      <c r="F4" s="71">
        <f>May!$P$35</f>
        <v>0</v>
      </c>
      <c r="G4" s="71">
        <f>Jun!$P$35</f>
        <v>0</v>
      </c>
      <c r="H4" s="71">
        <f>Jul!$P$35</f>
        <v>0</v>
      </c>
      <c r="I4" s="71">
        <f>Aug!$P$35</f>
        <v>0</v>
      </c>
      <c r="J4" s="71">
        <f>Sep!$P$35</f>
        <v>0</v>
      </c>
      <c r="K4" s="71">
        <f>Oct!$P$35</f>
        <v>0</v>
      </c>
      <c r="L4" s="71">
        <f>Nov!$P$35</f>
        <v>0</v>
      </c>
      <c r="M4" s="71">
        <f>Dec!$P$35</f>
        <v>0</v>
      </c>
      <c r="N4" s="72">
        <f t="shared" ref="N4:N6" si="0">SUM(B4:M4)</f>
        <v>5000</v>
      </c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ht="20">
      <c r="A5" s="28" t="s">
        <v>6</v>
      </c>
      <c r="B5" s="71">
        <f>Jan!$S$35</f>
        <v>15</v>
      </c>
      <c r="C5" s="71">
        <f>Feb!$S$35</f>
        <v>0</v>
      </c>
      <c r="D5" s="71">
        <f>Mar!$S$35</f>
        <v>0</v>
      </c>
      <c r="E5" s="71">
        <f>Apr!$S$35</f>
        <v>0</v>
      </c>
      <c r="F5" s="71">
        <f>May!$S$35</f>
        <v>0</v>
      </c>
      <c r="G5" s="71">
        <f>Jun!$S$35</f>
        <v>0</v>
      </c>
      <c r="H5" s="71">
        <f>Jul!$S$35</f>
        <v>0</v>
      </c>
      <c r="I5" s="71">
        <f>Aug!$S$35</f>
        <v>0</v>
      </c>
      <c r="J5" s="71">
        <f>Sep!$S$35</f>
        <v>0</v>
      </c>
      <c r="K5" s="71">
        <f>Oct!$S$35</f>
        <v>0</v>
      </c>
      <c r="L5" s="71">
        <f>Nov!$S$35</f>
        <v>0</v>
      </c>
      <c r="M5" s="71">
        <f>Dec!$S$35</f>
        <v>0</v>
      </c>
      <c r="N5" s="72">
        <f t="shared" si="0"/>
        <v>15</v>
      </c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ht="26">
      <c r="A6" s="30" t="s">
        <v>18</v>
      </c>
      <c r="B6" s="73">
        <f t="shared" ref="B6:M6" si="1">SUM(B4:B5)</f>
        <v>5015</v>
      </c>
      <c r="C6" s="73">
        <f t="shared" si="1"/>
        <v>0</v>
      </c>
      <c r="D6" s="73">
        <f t="shared" si="1"/>
        <v>0</v>
      </c>
      <c r="E6" s="73">
        <f t="shared" si="1"/>
        <v>0</v>
      </c>
      <c r="F6" s="73">
        <f t="shared" si="1"/>
        <v>0</v>
      </c>
      <c r="G6" s="73">
        <f t="shared" si="1"/>
        <v>0</v>
      </c>
      <c r="H6" s="73">
        <f t="shared" si="1"/>
        <v>0</v>
      </c>
      <c r="I6" s="73">
        <f t="shared" si="1"/>
        <v>0</v>
      </c>
      <c r="J6" s="73">
        <f t="shared" si="1"/>
        <v>0</v>
      </c>
      <c r="K6" s="73">
        <f t="shared" si="1"/>
        <v>0</v>
      </c>
      <c r="L6" s="73">
        <f t="shared" si="1"/>
        <v>0</v>
      </c>
      <c r="M6" s="73">
        <f t="shared" si="1"/>
        <v>0</v>
      </c>
      <c r="N6" s="74">
        <f t="shared" si="0"/>
        <v>5015</v>
      </c>
    </row>
    <row r="7" spans="1:26" ht="17">
      <c r="A7" s="31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3"/>
    </row>
    <row r="8" spans="1:26" ht="23">
      <c r="A8" s="25" t="s">
        <v>0</v>
      </c>
      <c r="B8" s="26" t="str">
        <f t="shared" ref="B8:M8" si="2">B3</f>
        <v>January</v>
      </c>
      <c r="C8" s="26" t="str">
        <f t="shared" si="2"/>
        <v>February</v>
      </c>
      <c r="D8" s="26" t="str">
        <f t="shared" si="2"/>
        <v>March</v>
      </c>
      <c r="E8" s="26" t="str">
        <f t="shared" si="2"/>
        <v>April</v>
      </c>
      <c r="F8" s="26" t="str">
        <f t="shared" si="2"/>
        <v>May</v>
      </c>
      <c r="G8" s="26" t="str">
        <f t="shared" si="2"/>
        <v>June</v>
      </c>
      <c r="H8" s="26" t="str">
        <f t="shared" si="2"/>
        <v>July</v>
      </c>
      <c r="I8" s="26" t="str">
        <f t="shared" si="2"/>
        <v>August</v>
      </c>
      <c r="J8" s="26" t="str">
        <f t="shared" si="2"/>
        <v>September</v>
      </c>
      <c r="K8" s="26" t="str">
        <f t="shared" si="2"/>
        <v>October</v>
      </c>
      <c r="L8" s="26" t="str">
        <f t="shared" si="2"/>
        <v>November</v>
      </c>
      <c r="M8" s="26" t="str">
        <f t="shared" si="2"/>
        <v>December</v>
      </c>
      <c r="N8" s="27" t="s">
        <v>18</v>
      </c>
    </row>
    <row r="9" spans="1:26" ht="20">
      <c r="A9" s="28" t="s">
        <v>43</v>
      </c>
      <c r="B9" s="71">
        <f>Jan!$D$35</f>
        <v>4050</v>
      </c>
      <c r="C9" s="71">
        <f>Feb!$D$35</f>
        <v>0</v>
      </c>
      <c r="D9" s="71">
        <f>Mar!$D$35</f>
        <v>0</v>
      </c>
      <c r="E9" s="71">
        <f>Apr!$D$35</f>
        <v>0</v>
      </c>
      <c r="F9" s="71">
        <f>May!$D$35</f>
        <v>0</v>
      </c>
      <c r="G9" s="71">
        <f>Jun!$D$35</f>
        <v>0</v>
      </c>
      <c r="H9" s="71">
        <f>Jul!$D$35</f>
        <v>0</v>
      </c>
      <c r="I9" s="71">
        <f>Aug!$D$35</f>
        <v>0</v>
      </c>
      <c r="J9" s="71">
        <f>Sep!$D$35</f>
        <v>0</v>
      </c>
      <c r="K9" s="71">
        <f>Oct!$D$35</f>
        <v>0</v>
      </c>
      <c r="L9" s="71">
        <f>Nov!$D$35</f>
        <v>0</v>
      </c>
      <c r="M9" s="71">
        <f>Dec!$D$35</f>
        <v>0</v>
      </c>
      <c r="N9" s="72">
        <f t="shared" ref="N9:N11" si="3">SUM(B9:M9)</f>
        <v>4050</v>
      </c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ht="20">
      <c r="A10" s="28" t="s">
        <v>44</v>
      </c>
      <c r="B10" s="71">
        <f>Jan!$H$35</f>
        <v>270</v>
      </c>
      <c r="C10" s="71">
        <f>Feb!$H$35</f>
        <v>0</v>
      </c>
      <c r="D10" s="71">
        <f>Mar!$H$35</f>
        <v>0</v>
      </c>
      <c r="E10" s="71">
        <f>Apr!$H$35</f>
        <v>0</v>
      </c>
      <c r="F10" s="71">
        <f>May!$H$35</f>
        <v>0</v>
      </c>
      <c r="G10" s="71">
        <f>Jun!$H$35</f>
        <v>0</v>
      </c>
      <c r="H10" s="71">
        <f>Jul!$H$35</f>
        <v>0</v>
      </c>
      <c r="I10" s="71">
        <f>Aug!$H$35</f>
        <v>0</v>
      </c>
      <c r="J10" s="71">
        <f>Sep!$H$35</f>
        <v>0</v>
      </c>
      <c r="K10" s="71">
        <f>Oct!$H$35</f>
        <v>0</v>
      </c>
      <c r="L10" s="71">
        <f>Nov!$H$35</f>
        <v>0</v>
      </c>
      <c r="M10" s="71">
        <f>Dec!$H$35</f>
        <v>0</v>
      </c>
      <c r="N10" s="72">
        <f t="shared" si="3"/>
        <v>270</v>
      </c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ht="20">
      <c r="A11" s="28" t="s">
        <v>45</v>
      </c>
      <c r="B11" s="71">
        <f>Jan!$L$35</f>
        <v>45</v>
      </c>
      <c r="C11" s="71">
        <f>Feb!$L$35</f>
        <v>0</v>
      </c>
      <c r="D11" s="71">
        <f>Mar!$L$35</f>
        <v>0</v>
      </c>
      <c r="E11" s="71">
        <f>Apr!$L$35</f>
        <v>0</v>
      </c>
      <c r="F11" s="71">
        <f>May!$L$35</f>
        <v>0</v>
      </c>
      <c r="G11" s="71">
        <f>Jun!$L$35</f>
        <v>0</v>
      </c>
      <c r="H11" s="71">
        <f>Jul!$L$35</f>
        <v>0</v>
      </c>
      <c r="I11" s="71">
        <f>Aug!$L$35</f>
        <v>0</v>
      </c>
      <c r="J11" s="71">
        <f>Sep!$L$35</f>
        <v>0</v>
      </c>
      <c r="K11" s="71">
        <f>Oct!$L$35</f>
        <v>0</v>
      </c>
      <c r="L11" s="71">
        <f>Nov!$L$35</f>
        <v>0</v>
      </c>
      <c r="M11" s="71">
        <f>Dec!$L$35</f>
        <v>0</v>
      </c>
      <c r="N11" s="72">
        <f t="shared" si="3"/>
        <v>45</v>
      </c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26">
      <c r="A12" s="30" t="s">
        <v>18</v>
      </c>
      <c r="B12" s="73">
        <f t="shared" ref="B12:N12" si="4">SUM(B9:B11)</f>
        <v>4365</v>
      </c>
      <c r="C12" s="73">
        <f t="shared" si="4"/>
        <v>0</v>
      </c>
      <c r="D12" s="73">
        <f t="shared" si="4"/>
        <v>0</v>
      </c>
      <c r="E12" s="73">
        <f t="shared" si="4"/>
        <v>0</v>
      </c>
      <c r="F12" s="73">
        <f t="shared" si="4"/>
        <v>0</v>
      </c>
      <c r="G12" s="73">
        <f t="shared" si="4"/>
        <v>0</v>
      </c>
      <c r="H12" s="73">
        <f t="shared" si="4"/>
        <v>0</v>
      </c>
      <c r="I12" s="73">
        <f t="shared" si="4"/>
        <v>0</v>
      </c>
      <c r="J12" s="73">
        <f t="shared" si="4"/>
        <v>0</v>
      </c>
      <c r="K12" s="73">
        <f t="shared" si="4"/>
        <v>0</v>
      </c>
      <c r="L12" s="73">
        <f t="shared" si="4"/>
        <v>0</v>
      </c>
      <c r="M12" s="73">
        <f t="shared" si="4"/>
        <v>0</v>
      </c>
      <c r="N12" s="74">
        <f t="shared" si="4"/>
        <v>4365</v>
      </c>
    </row>
    <row r="13" spans="1:26" ht="17">
      <c r="A13" s="34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3"/>
    </row>
    <row r="14" spans="1:26" ht="26">
      <c r="A14" s="35" t="s">
        <v>46</v>
      </c>
      <c r="B14" s="75">
        <f t="shared" ref="B14:N14" si="5">B6-B12</f>
        <v>650</v>
      </c>
      <c r="C14" s="75">
        <f t="shared" si="5"/>
        <v>0</v>
      </c>
      <c r="D14" s="75">
        <f t="shared" si="5"/>
        <v>0</v>
      </c>
      <c r="E14" s="75">
        <f t="shared" si="5"/>
        <v>0</v>
      </c>
      <c r="F14" s="75">
        <f t="shared" si="5"/>
        <v>0</v>
      </c>
      <c r="G14" s="75">
        <f t="shared" si="5"/>
        <v>0</v>
      </c>
      <c r="H14" s="75">
        <f t="shared" si="5"/>
        <v>0</v>
      </c>
      <c r="I14" s="75">
        <f t="shared" si="5"/>
        <v>0</v>
      </c>
      <c r="J14" s="75">
        <f t="shared" si="5"/>
        <v>0</v>
      </c>
      <c r="K14" s="75">
        <f t="shared" si="5"/>
        <v>0</v>
      </c>
      <c r="L14" s="75">
        <f t="shared" si="5"/>
        <v>0</v>
      </c>
      <c r="M14" s="75">
        <f t="shared" si="5"/>
        <v>0</v>
      </c>
      <c r="N14" s="76">
        <f t="shared" si="5"/>
        <v>650</v>
      </c>
    </row>
    <row r="15" spans="1:26" ht="15.75" customHeight="1"/>
    <row r="16" spans="1:26" ht="15.75" customHeight="1"/>
    <row r="17" spans="5:5" ht="15.75" customHeight="1"/>
    <row r="18" spans="5:5" ht="15.75" customHeight="1"/>
    <row r="19" spans="5:5" ht="15.75" customHeight="1"/>
    <row r="20" spans="5:5" ht="15.75" customHeight="1"/>
    <row r="21" spans="5:5" ht="15.75" customHeight="1"/>
    <row r="22" spans="5:5" ht="15.75" customHeight="1"/>
    <row r="23" spans="5:5" ht="15.75" customHeight="1">
      <c r="E23" s="36"/>
    </row>
    <row r="24" spans="5:5" ht="15.75" customHeight="1"/>
    <row r="25" spans="5:5" ht="15.75" customHeight="1"/>
    <row r="26" spans="5:5" ht="15.75" customHeight="1"/>
    <row r="27" spans="5:5" ht="15.75" customHeight="1"/>
    <row r="28" spans="5:5" ht="15.75" customHeight="1"/>
    <row r="29" spans="5:5" ht="15.75" customHeight="1"/>
    <row r="30" spans="5:5" ht="15.75" customHeight="1"/>
    <row r="31" spans="5:5" ht="15.75" customHeight="1"/>
    <row r="32" spans="5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conditionalFormatting sqref="A4:N5 A9:N11">
    <cfRule type="expression" dxfId="4" priority="3">
      <formula>ISODD(ROW())</formula>
    </cfRule>
    <cfRule type="expression" dxfId="3" priority="4">
      <formula>ISEVEN(ROW())</formula>
    </cfRule>
  </conditionalFormatting>
  <conditionalFormatting sqref="B14:N14">
    <cfRule type="cellIs" dxfId="2" priority="2" operator="greaterThan">
      <formula>0</formula>
    </cfRule>
    <cfRule type="cellIs" dxfId="1" priority="1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B1:B1000"/>
  <sheetViews>
    <sheetView showGridLines="0" workbookViewId="0"/>
  </sheetViews>
  <sheetFormatPr baseColWidth="10" defaultColWidth="10.140625" defaultRowHeight="15" customHeight="1"/>
  <cols>
    <col min="1" max="1" width="1.7109375" customWidth="1"/>
    <col min="2" max="26" width="8.7109375" customWidth="1"/>
  </cols>
  <sheetData>
    <row r="1" spans="2:2" ht="15.75" customHeight="1"/>
    <row r="2" spans="2:2" ht="15.75" customHeight="1">
      <c r="B2" s="9" t="s">
        <v>29</v>
      </c>
    </row>
    <row r="3" spans="2:2" ht="15.75" customHeight="1"/>
    <row r="4" spans="2:2" ht="15.75" customHeight="1">
      <c r="B4" s="24" t="e">
        <f>MIN(1-B5,1)</f>
        <v>#REF!</v>
      </c>
    </row>
    <row r="5" spans="2:2" ht="15.75" customHeight="1">
      <c r="B5" s="24" t="e">
        <f>MIN(Total_Monthly_Expenses/Total_Monthly_Income,1)</f>
        <v>#REF!</v>
      </c>
    </row>
    <row r="6" spans="2:2" ht="15.75" customHeight="1">
      <c r="B6" s="9" t="e">
        <f>(Total_Monthly_Expenses/Total_Monthly_Income)&gt;1</f>
        <v>#REF!</v>
      </c>
    </row>
    <row r="7" spans="2:2" ht="15.75" customHeight="1"/>
    <row r="8" spans="2:2" ht="15.75" customHeight="1"/>
    <row r="9" spans="2:2" ht="15.75" customHeight="1"/>
    <row r="10" spans="2:2" ht="15.75" customHeight="1"/>
    <row r="11" spans="2:2" ht="15.75" customHeight="1"/>
    <row r="12" spans="2:2" ht="15.75" customHeight="1"/>
    <row r="13" spans="2:2" ht="15.75" customHeight="1"/>
    <row r="14" spans="2:2" ht="15.75" customHeight="1"/>
    <row r="15" spans="2:2" ht="15.75" customHeight="1"/>
    <row r="16" spans="2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Totals</vt:lpstr>
      <vt:lpstr>Chart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dcterms:created xsi:type="dcterms:W3CDTF">2014-09-09T12:22:13Z</dcterms:created>
  <dcterms:modified xsi:type="dcterms:W3CDTF">2026-09-15T17:04:56Z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TF10000025</vt:lpwstr>
  </property>
</Properties>
</file>