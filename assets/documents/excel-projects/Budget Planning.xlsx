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orman2\Desktop\"/>
    </mc:Choice>
  </mc:AlternateContent>
  <xr:revisionPtr revIDLastSave="0" documentId="13_ncr:1_{7644DE98-FE07-426B-9BD4-EF12503D9AFF}" xr6:coauthVersionLast="47" xr6:coauthVersionMax="47" xr10:uidLastSave="{00000000-0000-0000-0000-000000000000}"/>
  <bookViews>
    <workbookView xWindow="-120" yWindow="-120" windowWidth="22920" windowHeight="13695" activeTab="3" xr2:uid="{00000000-000D-0000-FFFF-FFFF00000000}"/>
  </bookViews>
  <sheets>
    <sheet name="Festival Ad Placements" sheetId="1" r:id="rId1"/>
    <sheet name="June Advertising Report" sheetId="2" r:id="rId2"/>
    <sheet name="October Advertising Report" sheetId="3" r:id="rId3"/>
    <sheet name="Advertising Summary" sheetId="4" r:id="rId4"/>
  </sheets>
  <definedNames>
    <definedName name="solver_adj" localSheetId="0" hidden="1">'Festival Ad Placements'!$B$9:$D$9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'Festival Ad Placements'!$B$9:$D$9</definedName>
    <definedName name="solver_lhs10" localSheetId="0" hidden="1">'Festival Ad Placements'!$F$11</definedName>
    <definedName name="solver_lhs2" localSheetId="0" hidden="1">'Festival Ad Placements'!$B$9</definedName>
    <definedName name="solver_lhs3" localSheetId="0" hidden="1">'Festival Ad Placements'!$C$9</definedName>
    <definedName name="solver_lhs4" localSheetId="0" hidden="1">'Festival Ad Placements'!$D$9</definedName>
    <definedName name="solver_lhs5" localSheetId="0" hidden="1">'Festival Ad Placements'!$D$9</definedName>
    <definedName name="solver_lhs6" localSheetId="0" hidden="1">'Festival Ad Placements'!$D$9</definedName>
    <definedName name="solver_lhs7" localSheetId="0" hidden="1">'Festival Ad Placements'!$D$9</definedName>
    <definedName name="solver_lhs8" localSheetId="0" hidden="1">'Festival Ad Placements'!$B$9</definedName>
    <definedName name="solver_lhs9" localSheetId="0" hidden="1">'Festival Ad Placements'!$C$9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'Festival Ad Placements'!$F$11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10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4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"integer"</definedName>
    <definedName name="solver_rhs10" localSheetId="0" hidden="1">23500</definedName>
    <definedName name="solver_rhs2" localSheetId="0" hidden="1">14</definedName>
    <definedName name="solver_rhs3" localSheetId="0" hidden="1">30</definedName>
    <definedName name="solver_rhs4" localSheetId="0" hidden="1">21</definedName>
    <definedName name="solver_rhs5" localSheetId="0" hidden="1">21</definedName>
    <definedName name="solver_rhs6" localSheetId="0" hidden="1">integer</definedName>
    <definedName name="solver_rhs7" localSheetId="0" hidden="1">0</definedName>
    <definedName name="solver_rhs8" localSheetId="0" hidden="1">0</definedName>
    <definedName name="solver_rhs9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25000</definedName>
    <definedName name="solver_ver" localSheetId="0" hidden="1">3</definedName>
    <definedName name="Total_Budget">'Festival Ad Placements'!$F$11</definedName>
    <definedName name="Total_Newspaper_Ads">'Festival Ad Placements'!$B$9</definedName>
    <definedName name="Total_People_Reached">'Festival Ad Placements'!$F$10</definedName>
    <definedName name="Total_Radio_Ads">'Festival Ad Placements'!$C$9</definedName>
    <definedName name="Total_TV_Ads">'Festival Ad Placements'!$D$9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9" i="1"/>
  <c r="B10" i="1"/>
  <c r="E10" i="1" l="1"/>
  <c r="E11" i="1"/>
  <c r="B7" i="1" l="1"/>
  <c r="C11" i="1"/>
  <c r="D11" i="1"/>
  <c r="B11" i="1"/>
  <c r="C10" i="1"/>
  <c r="D10" i="1"/>
  <c r="C7" i="1"/>
  <c r="D7" i="1"/>
  <c r="F11" i="1" l="1"/>
  <c r="F10" i="1"/>
</calcChain>
</file>

<file path=xl/sharedStrings.xml><?xml version="1.0" encoding="utf-8"?>
<sst xmlns="http://schemas.openxmlformats.org/spreadsheetml/2006/main" count="147" uniqueCount="66">
  <si>
    <t>Newspaper</t>
  </si>
  <si>
    <t>Radio</t>
  </si>
  <si>
    <t>Total Cost</t>
  </si>
  <si>
    <t>Totals</t>
  </si>
  <si>
    <t>Town Festival Promotion</t>
  </si>
  <si>
    <t>Advertisement Budget Planning</t>
  </si>
  <si>
    <t>People Reached per Ad</t>
  </si>
  <si>
    <t>Cost per Ad</t>
  </si>
  <si>
    <t>People Reached per Dollar</t>
  </si>
  <si>
    <t>Ads Placed</t>
  </si>
  <si>
    <t>Total People Reached</t>
  </si>
  <si>
    <t>Social Media</t>
  </si>
  <si>
    <t>TV</t>
  </si>
  <si>
    <t>Microsoft Excel 16.0 Answer Report</t>
  </si>
  <si>
    <t>Worksheet: [SC_EX_9-2.xlsx]Festival Ad Placements</t>
  </si>
  <si>
    <t>Report Created: 4/16/2025 11:44:42 AM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</si>
  <si>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</si>
  <si>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</si>
  <si>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</si>
  <si>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</si>
  <si>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1 Subproblems: 0</t>
  </si>
  <si>
    <t>Solver Options</t>
  </si>
  <si>
    <t>Max Time 100 sec,  Iterations 100, Precision 0.000001</t>
  </si>
  <si>
    <t>Max Subproblems Unlimited, Max Integer Sols Unlimited, Integer Tolerance 5%, Solve Without Integer Constraints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</si>
  <si>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</si>
  <si>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</si>
  <si>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</si>
  <si>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</si>
  <si>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</si>
  <si>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</si>
  <si>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</si>
  <si>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</si>
  <si>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</si>
  <si>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</si>
  <si>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</si>
  <si>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</si>
  <si>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$F$11</t>
  </si>
  <si>
    <t>Total_Budget</t>
  </si>
  <si>
    <t>$B$9</t>
  </si>
  <si>
    <t>Total_Newspaper_Ads</t>
  </si>
  <si>
    <t>$C$9</t>
  </si>
  <si>
    <t>Total_Radio_Ads</t>
  </si>
  <si>
    <t>$D$9</t>
  </si>
  <si>
    <t>Total_TV_Ads</t>
  </si>
  <si>
    <t>$F$11=10500</t>
  </si>
  <si>
    <t>Binding</t>
  </si>
  <si>
    <t>$B$9&lt;=14</t>
  </si>
  <si>
    <t>$C$9&lt;=30</t>
  </si>
  <si>
    <t>$D$9&lt;=21</t>
  </si>
  <si>
    <t>Not Binding</t>
  </si>
  <si>
    <t>$B$9:$D$9=Integer</t>
  </si>
  <si>
    <t>Report Created: 4/16/2025 11:46:41 AM</t>
  </si>
  <si>
    <t>Solution Time: 0.016 Seconds.</t>
  </si>
  <si>
    <t>$F$11=25000</t>
  </si>
  <si>
    <t>Total_People_Reached</t>
  </si>
  <si>
    <t>June</t>
  </si>
  <si>
    <t>Created by Joseph Korman on 4/16/2025</t>
  </si>
  <si>
    <t>October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</si>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</sst>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0"/>
      <name val="Arial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sz val="9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Fill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right"/>
    </xf>
    <xf numFmtId="3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0" borderId="3" xfId="0" applyFill="1" applyBorder="1" applyAlignment="1"/>
    <xf numFmtId="0" fontId="5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164" fontId="0" fillId="0" borderId="3" xfId="0" applyNumberFormat="1" applyFill="1" applyBorder="1" applyAlignment="1"/>
    <xf numFmtId="3" fontId="0" fillId="0" borderId="4" xfId="0" applyNumberFormat="1" applyFill="1" applyBorder="1" applyAlignment="1"/>
    <xf numFmtId="3" fontId="0" fillId="0" borderId="3" xfId="0" applyNumberFormat="1" applyFill="1" applyBorder="1" applyAlignment="1"/>
    <xf numFmtId="3" fontId="0" fillId="0" borderId="0" xfId="0" applyNumberFormat="1" applyFill="1" applyBorder="1" applyAlignment="1"/>
    <xf numFmtId="164" fontId="0" fillId="0" borderId="4" xfId="0" applyNumberFormat="1" applyFill="1" applyBorder="1" applyAlignment="1"/>
    <xf numFmtId="164" fontId="0" fillId="0" borderId="1" xfId="0" applyNumberFormat="1" applyFill="1" applyBorder="1" applyAlignment="1"/>
    <xf numFmtId="0" fontId="6" fillId="3" borderId="6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0" fillId="0" borderId="7" xfId="0" applyFill="1" applyBorder="1" applyAlignment="1"/>
    <xf numFmtId="0" fontId="7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3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6"/>
  </sheetPr>
  <dimension ref="A1:I12"/>
  <sheetViews>
    <sheetView zoomScaleNormal="100" workbookViewId="0">
      <selection activeCell="F9" sqref="F9 B10 B11"/>
    </sheetView>
  </sheetViews>
  <sheetFormatPr defaultRowHeight="20.25" x14ac:dyDescent="0.3"/>
  <cols>
    <col min="1" max="1" width="46.140625" style="2" bestFit="1" customWidth="1"/>
    <col min="2" max="4" width="18.5703125" style="2" customWidth="1"/>
    <col min="5" max="5" width="27.42578125" style="2" customWidth="1"/>
    <col min="6" max="256" width="18.5703125" style="2" customWidth="1"/>
    <col min="257" max="16384" width="9.140625" style="2"/>
  </cols>
  <sheetData>
    <row r="1" spans="1:9" x14ac:dyDescent="0.3">
      <c r="A1" s="8" t="s">
        <v>4</v>
      </c>
      <c r="B1" s="8"/>
      <c r="C1" s="8"/>
      <c r="D1" s="8"/>
      <c r="E1" s="8"/>
      <c r="F1" s="8"/>
      <c r="G1" s="1"/>
      <c r="H1" s="1"/>
      <c r="I1" s="1"/>
    </row>
    <row r="2" spans="1:9" x14ac:dyDescent="0.3">
      <c r="A2" s="8" t="s">
        <v>5</v>
      </c>
      <c r="B2" s="8"/>
      <c r="C2" s="8"/>
      <c r="D2" s="8"/>
      <c r="E2" s="8"/>
      <c r="F2" s="8"/>
      <c r="G2" s="1"/>
      <c r="H2" s="1"/>
      <c r="I2" s="1"/>
    </row>
    <row r="4" spans="1:9" ht="21" thickBot="1" x14ac:dyDescent="0.35">
      <c r="A4" s="3"/>
      <c r="B4" s="4" t="s">
        <v>0</v>
      </c>
      <c r="C4" s="4" t="s">
        <v>1</v>
      </c>
      <c r="D4" s="4" t="s">
        <v>12</v>
      </c>
      <c r="E4" s="4" t="s">
        <v>11</v>
      </c>
    </row>
    <row r="5" spans="1:9" x14ac:dyDescent="0.3">
      <c r="A5" s="3" t="s">
        <v>6</v>
      </c>
      <c r="B5" s="5">
        <v>2500</v>
      </c>
      <c r="C5" s="5">
        <v>2200</v>
      </c>
      <c r="D5" s="5">
        <v>5500</v>
      </c>
      <c r="E5" s="5">
        <v>10000</v>
      </c>
    </row>
    <row r="6" spans="1:9" x14ac:dyDescent="0.3">
      <c r="A6" s="3" t="s">
        <v>7</v>
      </c>
      <c r="B6" s="6">
        <v>450</v>
      </c>
      <c r="C6" s="6">
        <v>450</v>
      </c>
      <c r="D6" s="6">
        <v>750</v>
      </c>
      <c r="E6" s="3">
        <v>0</v>
      </c>
    </row>
    <row r="7" spans="1:9" x14ac:dyDescent="0.3">
      <c r="A7" s="3" t="s">
        <v>8</v>
      </c>
      <c r="B7" s="7">
        <f>B5/B6</f>
        <v>5.5555555555555554</v>
      </c>
      <c r="C7" s="7">
        <f>C5/C6</f>
        <v>4.8888888888888893</v>
      </c>
      <c r="D7" s="7">
        <f>D5/D6</f>
        <v>7.333333333333333</v>
      </c>
      <c r="E7" s="7">
        <f>E5</f>
        <v>10000</v>
      </c>
    </row>
    <row r="8" spans="1:9" ht="21" customHeight="1" thickBot="1" x14ac:dyDescent="0.35">
      <c r="A8" s="3"/>
      <c r="B8" s="7"/>
      <c r="C8" s="7"/>
      <c r="D8" s="7"/>
      <c r="F8" s="4" t="s">
        <v>3</v>
      </c>
    </row>
    <row r="9" spans="1:9" ht="24.75" customHeight="1" x14ac:dyDescent="0.3">
      <c r="A9" s="3" t="s">
        <v>9</v>
      </c>
      <c r="B9" s="5">
        <v>14</v>
      </c>
      <c r="C9" s="5">
        <v>30</v>
      </c>
      <c r="D9" s="5">
        <v>6.93333333333333</v>
      </c>
      <c r="E9" s="5">
        <v>1</v>
      </c>
      <c r="F9" s="5">
        <f>SUM(B9:E9)</f>
        <v>51.93333333333333</v>
      </c>
    </row>
    <row r="10" spans="1:9" x14ac:dyDescent="0.3">
      <c r="A10" s="3" t="s">
        <v>10</v>
      </c>
      <c r="B10" s="5">
        <f>B5*B9</f>
        <v>35000</v>
      </c>
      <c r="C10" s="5">
        <f>C5*C9</f>
        <v>66000</v>
      </c>
      <c r="D10" s="5">
        <f>D5*D9</f>
        <v>38133.333333333314</v>
      </c>
      <c r="E10" s="5">
        <f>E5*E9</f>
        <v>10000</v>
      </c>
      <c r="F10" s="5">
        <f>SUM(B10:E10)</f>
        <v>149133.33333333331</v>
      </c>
    </row>
    <row r="11" spans="1:9" x14ac:dyDescent="0.3">
      <c r="A11" s="3" t="s">
        <v>2</v>
      </c>
      <c r="B11" s="6">
        <f>B6*B9</f>
        <v>6300</v>
      </c>
      <c r="C11" s="6">
        <f>C6*C9</f>
        <v>13500</v>
      </c>
      <c r="D11" s="6">
        <f>D6*D9</f>
        <v>5199.9999999999973</v>
      </c>
      <c r="E11" s="6">
        <f>E6*E9</f>
        <v>0</v>
      </c>
      <c r="F11" s="6">
        <f>SUM(B11:D11)</f>
        <v>24999.999999999996</v>
      </c>
    </row>
    <row r="12" spans="1:9" x14ac:dyDescent="0.3">
      <c r="A12" s="3"/>
      <c r="B12" s="3"/>
      <c r="C12" s="3"/>
      <c r="D12" s="3"/>
      <c r="E12" s="7"/>
      <c r="F12" s="6"/>
    </row>
  </sheetData>
  <scenarios current="1" show="1" sqref="B9:D9 F10:F11">
    <scenario name="June" count="3" user="Joseph Korman" comment="Created by Joseph Korman on 4/16/2025">
      <inputCells r="B9" val="14" numFmtId="3"/>
      <inputCells r="C9" val="30" numFmtId="3"/>
      <inputCells r="D9" val="-12.4" numFmtId="3"/>
    </scenario>
    <scenario name="October" count="3" user="Joseph Korman" comment="Created by Joseph Korman on 4/16/2025">
      <inputCells r="B9" val="14" numFmtId="3"/>
      <inputCells r="C9" val="30" numFmtId="3"/>
      <inputCells r="D9" val="6.93333333333333" numFmtId="3"/>
    </scenario>
  </scenarios>
  <mergeCells count="2">
    <mergeCell ref="A1:F1"/>
    <mergeCell ref="A2:F2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F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0FA3-A1D9-4380-8B81-E82DDC71D83E}">
  <sheetPr>
    <tabColor theme="4"/>
  </sheetPr>
  <dimension ref="A1:G32"/>
  <sheetViews>
    <sheetView showGridLines="0" workbookViewId="0"/>
  </sheetViews>
  <sheetFormatPr defaultRowHeight="12.75" x14ac:dyDescent="0.2"/>
  <cols>
    <col min="1" max="1" width="2.28515625" customWidth="1"/>
    <col min="2" max="2" width="17" bestFit="1" customWidth="1"/>
    <col min="3" max="3" width="19.7109375" bestFit="1" customWidth="1"/>
    <col min="4" max="4" width="14.28515625" bestFit="1" customWidth="1"/>
    <col min="5" max="5" width="12.28515625" bestFit="1" customWidth="1"/>
    <col min="6" max="6" width="10.5703125" bestFit="1" customWidth="1"/>
    <col min="7" max="7" width="6" bestFit="1" customWidth="1"/>
  </cols>
  <sheetData>
    <row r="1" spans="1:5" x14ac:dyDescent="0.2">
      <c r="A1" s="9" t="s">
        <v>13</v>
      </c>
    </row>
    <row r="2" spans="1:5" x14ac:dyDescent="0.2">
      <c r="A2" s="9" t="s">
        <v>14</v>
      </c>
    </row>
    <row r="3" spans="1:5" x14ac:dyDescent="0.2">
      <c r="A3" s="9" t="s">
        <v>15</v>
      </c>
    </row>
    <row r="4" spans="1:5" x14ac:dyDescent="0.2">
      <c r="A4" s="9" t="s">
        <v>16</v>
      </c>
    </row>
    <row r="5" spans="1:5" x14ac:dyDescent="0.2">
      <c r="A5" s="9" t="s">
        <v>17</v>
      </c>
    </row>
    <row r="6" spans="1:5" x14ac:dyDescent="0.2">
      <c r="A6" s="9"/>
      <c r="B6" t="s">
        <v>18</v>
      </c>
    </row>
    <row r="7" spans="1:5" x14ac:dyDescent="0.2">
      <c r="A7" s="9"/>
      <c r="B7" t="s">
        <v>19</v>
      </c>
    </row>
    <row r="8" spans="1:5" x14ac:dyDescent="0.2">
      <c r="A8" s="9"/>
      <c r="B8" t="s">
        <v>20</v>
      </c>
    </row>
    <row r="9" spans="1:5" x14ac:dyDescent="0.2">
      <c r="A9" s="9" t="s">
        <v>21</v>
      </c>
    </row>
    <row r="10" spans="1:5" x14ac:dyDescent="0.2">
      <c r="B10" t="s">
        <v>22</v>
      </c>
    </row>
    <row r="11" spans="1:5" x14ac:dyDescent="0.2">
      <c r="B11" t="s">
        <v>23</v>
      </c>
    </row>
    <row r="14" spans="1:5" ht="13.5" thickBot="1" x14ac:dyDescent="0.25">
      <c r="A14" t="s">
        <v>24</v>
      </c>
    </row>
    <row r="15" spans="1:5" ht="13.5" thickBot="1" x14ac:dyDescent="0.25">
      <c r="B15" s="11" t="s">
        <v>25</v>
      </c>
      <c r="C15" s="11" t="s">
        <v>26</v>
      </c>
      <c r="D15" s="11" t="s">
        <v>27</v>
      </c>
      <c r="E15" s="11" t="s">
        <v>28</v>
      </c>
    </row>
    <row r="16" spans="1:5" ht="13.5" thickBot="1" x14ac:dyDescent="0.25">
      <c r="B16" s="10" t="s">
        <v>36</v>
      </c>
      <c r="C16" s="10" t="s">
        <v>37</v>
      </c>
      <c r="D16" s="14">
        <v>10500</v>
      </c>
      <c r="E16" s="14">
        <v>10500</v>
      </c>
    </row>
    <row r="19" spans="1:7" ht="13.5" thickBot="1" x14ac:dyDescent="0.25">
      <c r="A19" t="s">
        <v>29</v>
      </c>
    </row>
    <row r="20" spans="1:7" ht="13.5" thickBot="1" x14ac:dyDescent="0.25">
      <c r="B20" s="11" t="s">
        <v>25</v>
      </c>
      <c r="C20" s="11" t="s">
        <v>26</v>
      </c>
      <c r="D20" s="11" t="s">
        <v>27</v>
      </c>
      <c r="E20" s="11" t="s">
        <v>28</v>
      </c>
      <c r="F20" s="11" t="s">
        <v>30</v>
      </c>
    </row>
    <row r="21" spans="1:7" x14ac:dyDescent="0.2">
      <c r="B21" s="13" t="s">
        <v>38</v>
      </c>
      <c r="C21" s="13" t="s">
        <v>39</v>
      </c>
      <c r="D21" s="15">
        <v>14</v>
      </c>
      <c r="E21" s="15">
        <v>14</v>
      </c>
      <c r="F21" s="13" t="s">
        <v>30</v>
      </c>
    </row>
    <row r="22" spans="1:7" x14ac:dyDescent="0.2">
      <c r="B22" s="13" t="s">
        <v>40</v>
      </c>
      <c r="C22" s="13" t="s">
        <v>41</v>
      </c>
      <c r="D22" s="15">
        <v>30</v>
      </c>
      <c r="E22" s="15">
        <v>30</v>
      </c>
      <c r="F22" s="13" t="s">
        <v>30</v>
      </c>
    </row>
    <row r="23" spans="1:7" ht="13.5" thickBot="1" x14ac:dyDescent="0.25">
      <c r="B23" s="10" t="s">
        <v>42</v>
      </c>
      <c r="C23" s="10" t="s">
        <v>43</v>
      </c>
      <c r="D23" s="16">
        <v>-12.4</v>
      </c>
      <c r="E23" s="16">
        <v>-12.4</v>
      </c>
      <c r="F23" s="10" t="s">
        <v>30</v>
      </c>
    </row>
    <row r="26" spans="1:7" ht="13.5" thickBot="1" x14ac:dyDescent="0.25">
      <c r="A26" t="s">
        <v>31</v>
      </c>
    </row>
    <row r="27" spans="1:7" ht="13.5" thickBot="1" x14ac:dyDescent="0.25">
      <c r="B27" s="11" t="s">
        <v>25</v>
      </c>
      <c r="C27" s="11" t="s">
        <v>26</v>
      </c>
      <c r="D27" s="11" t="s">
        <v>32</v>
      </c>
      <c r="E27" s="11" t="s">
        <v>33</v>
      </c>
      <c r="F27" s="11" t="s">
        <v>34</v>
      </c>
      <c r="G27" s="11" t="s">
        <v>35</v>
      </c>
    </row>
    <row r="28" spans="1:7" x14ac:dyDescent="0.2">
      <c r="B28" s="13" t="s">
        <v>36</v>
      </c>
      <c r="C28" s="13" t="s">
        <v>37</v>
      </c>
      <c r="D28" s="18">
        <v>10500</v>
      </c>
      <c r="E28" s="13" t="s">
        <v>44</v>
      </c>
      <c r="F28" s="13" t="s">
        <v>45</v>
      </c>
      <c r="G28" s="13">
        <v>0</v>
      </c>
    </row>
    <row r="29" spans="1:7" x14ac:dyDescent="0.2">
      <c r="B29" s="13" t="s">
        <v>38</v>
      </c>
      <c r="C29" s="13" t="s">
        <v>39</v>
      </c>
      <c r="D29" s="15">
        <v>14</v>
      </c>
      <c r="E29" s="13" t="s">
        <v>46</v>
      </c>
      <c r="F29" s="13" t="s">
        <v>45</v>
      </c>
      <c r="G29" s="13">
        <v>0</v>
      </c>
    </row>
    <row r="30" spans="1:7" x14ac:dyDescent="0.2">
      <c r="B30" s="13" t="s">
        <v>40</v>
      </c>
      <c r="C30" s="13" t="s">
        <v>41</v>
      </c>
      <c r="D30" s="15">
        <v>30</v>
      </c>
      <c r="E30" s="13" t="s">
        <v>47</v>
      </c>
      <c r="F30" s="13" t="s">
        <v>45</v>
      </c>
      <c r="G30" s="13">
        <v>0</v>
      </c>
    </row>
    <row r="31" spans="1:7" x14ac:dyDescent="0.2">
      <c r="B31" s="13" t="s">
        <v>42</v>
      </c>
      <c r="C31" s="13" t="s">
        <v>43</v>
      </c>
      <c r="D31" s="15">
        <v>-12.4</v>
      </c>
      <c r="E31" s="13" t="s">
        <v>48</v>
      </c>
      <c r="F31" s="13" t="s">
        <v>49</v>
      </c>
      <c r="G31" s="13">
        <v>33.4</v>
      </c>
    </row>
    <row r="32" spans="1:7" ht="13.5" thickBot="1" x14ac:dyDescent="0.25">
      <c r="B32" s="10" t="s">
        <v>50</v>
      </c>
      <c r="C32" s="10"/>
      <c r="D32" s="10"/>
      <c r="E32" s="10"/>
      <c r="F32" s="10"/>
      <c r="G3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93F7-BFC7-491C-98DD-FB0F32D0271A}">
  <sheetPr>
    <tabColor theme="5"/>
  </sheetPr>
  <dimension ref="A1:G32"/>
  <sheetViews>
    <sheetView showGridLines="0" workbookViewId="0"/>
  </sheetViews>
  <sheetFormatPr defaultRowHeight="12.75" x14ac:dyDescent="0.2"/>
  <cols>
    <col min="1" max="1" width="2.28515625" customWidth="1"/>
    <col min="2" max="2" width="17" bestFit="1" customWidth="1"/>
    <col min="3" max="3" width="19.7109375" bestFit="1" customWidth="1"/>
    <col min="4" max="4" width="14.28515625" bestFit="1" customWidth="1"/>
    <col min="5" max="5" width="12.28515625" bestFit="1" customWidth="1"/>
    <col min="6" max="6" width="10.5703125" bestFit="1" customWidth="1"/>
    <col min="7" max="7" width="12" bestFit="1" customWidth="1"/>
  </cols>
  <sheetData>
    <row r="1" spans="1:5" x14ac:dyDescent="0.2">
      <c r="A1" s="9" t="s">
        <v>13</v>
      </c>
    </row>
    <row r="2" spans="1:5" x14ac:dyDescent="0.2">
      <c r="A2" s="9" t="s">
        <v>14</v>
      </c>
    </row>
    <row r="3" spans="1:5" x14ac:dyDescent="0.2">
      <c r="A3" s="9" t="s">
        <v>51</v>
      </c>
    </row>
    <row r="4" spans="1:5" x14ac:dyDescent="0.2">
      <c r="A4" s="9" t="s">
        <v>16</v>
      </c>
    </row>
    <row r="5" spans="1:5" x14ac:dyDescent="0.2">
      <c r="A5" s="9" t="s">
        <v>17</v>
      </c>
    </row>
    <row r="6" spans="1:5" x14ac:dyDescent="0.2">
      <c r="A6" s="9"/>
      <c r="B6" t="s">
        <v>18</v>
      </c>
    </row>
    <row r="7" spans="1:5" x14ac:dyDescent="0.2">
      <c r="A7" s="9"/>
      <c r="B7" t="s">
        <v>52</v>
      </c>
    </row>
    <row r="8" spans="1:5" x14ac:dyDescent="0.2">
      <c r="A8" s="9"/>
      <c r="B8" t="s">
        <v>20</v>
      </c>
    </row>
    <row r="9" spans="1:5" x14ac:dyDescent="0.2">
      <c r="A9" s="9" t="s">
        <v>21</v>
      </c>
    </row>
    <row r="10" spans="1:5" x14ac:dyDescent="0.2">
      <c r="B10" t="s">
        <v>22</v>
      </c>
    </row>
    <row r="11" spans="1:5" x14ac:dyDescent="0.2">
      <c r="B11" t="s">
        <v>23</v>
      </c>
    </row>
    <row r="14" spans="1:5" ht="13.5" thickBot="1" x14ac:dyDescent="0.25">
      <c r="A14" t="s">
        <v>24</v>
      </c>
    </row>
    <row r="15" spans="1:5" ht="13.5" thickBot="1" x14ac:dyDescent="0.25">
      <c r="B15" s="11" t="s">
        <v>25</v>
      </c>
      <c r="C15" s="11" t="s">
        <v>26</v>
      </c>
      <c r="D15" s="11" t="s">
        <v>27</v>
      </c>
      <c r="E15" s="11" t="s">
        <v>28</v>
      </c>
    </row>
    <row r="16" spans="1:5" ht="13.5" thickBot="1" x14ac:dyDescent="0.25">
      <c r="B16" s="10" t="s">
        <v>36</v>
      </c>
      <c r="C16" s="10" t="s">
        <v>37</v>
      </c>
      <c r="D16" s="14">
        <v>10500</v>
      </c>
      <c r="E16" s="14">
        <v>25000</v>
      </c>
    </row>
    <row r="19" spans="1:7" ht="13.5" thickBot="1" x14ac:dyDescent="0.25">
      <c r="A19" t="s">
        <v>29</v>
      </c>
    </row>
    <row r="20" spans="1:7" ht="13.5" thickBot="1" x14ac:dyDescent="0.25">
      <c r="B20" s="11" t="s">
        <v>25</v>
      </c>
      <c r="C20" s="11" t="s">
        <v>26</v>
      </c>
      <c r="D20" s="11" t="s">
        <v>27</v>
      </c>
      <c r="E20" s="11" t="s">
        <v>28</v>
      </c>
      <c r="F20" s="11" t="s">
        <v>30</v>
      </c>
    </row>
    <row r="21" spans="1:7" x14ac:dyDescent="0.2">
      <c r="B21" s="13" t="s">
        <v>38</v>
      </c>
      <c r="C21" s="13" t="s">
        <v>39</v>
      </c>
      <c r="D21" s="15">
        <v>14</v>
      </c>
      <c r="E21" s="15">
        <v>14</v>
      </c>
      <c r="F21" s="13" t="s">
        <v>30</v>
      </c>
    </row>
    <row r="22" spans="1:7" x14ac:dyDescent="0.2">
      <c r="B22" s="13" t="s">
        <v>40</v>
      </c>
      <c r="C22" s="13" t="s">
        <v>41</v>
      </c>
      <c r="D22" s="15">
        <v>30</v>
      </c>
      <c r="E22" s="15">
        <v>30</v>
      </c>
      <c r="F22" s="13" t="s">
        <v>30</v>
      </c>
    </row>
    <row r="23" spans="1:7" ht="13.5" thickBot="1" x14ac:dyDescent="0.25">
      <c r="B23" s="10" t="s">
        <v>42</v>
      </c>
      <c r="C23" s="10" t="s">
        <v>43</v>
      </c>
      <c r="D23" s="16">
        <v>-12.4</v>
      </c>
      <c r="E23" s="16">
        <v>6.9333333333333327</v>
      </c>
      <c r="F23" s="10" t="s">
        <v>30</v>
      </c>
    </row>
    <row r="26" spans="1:7" ht="13.5" thickBot="1" x14ac:dyDescent="0.25">
      <c r="A26" t="s">
        <v>31</v>
      </c>
    </row>
    <row r="27" spans="1:7" ht="13.5" thickBot="1" x14ac:dyDescent="0.25">
      <c r="B27" s="11" t="s">
        <v>25</v>
      </c>
      <c r="C27" s="11" t="s">
        <v>26</v>
      </c>
      <c r="D27" s="11" t="s">
        <v>32</v>
      </c>
      <c r="E27" s="11" t="s">
        <v>33</v>
      </c>
      <c r="F27" s="11" t="s">
        <v>34</v>
      </c>
      <c r="G27" s="11" t="s">
        <v>35</v>
      </c>
    </row>
    <row r="28" spans="1:7" x14ac:dyDescent="0.2">
      <c r="B28" s="13" t="s">
        <v>36</v>
      </c>
      <c r="C28" s="13" t="s">
        <v>37</v>
      </c>
      <c r="D28" s="18">
        <v>25000</v>
      </c>
      <c r="E28" s="13" t="s">
        <v>53</v>
      </c>
      <c r="F28" s="13" t="s">
        <v>45</v>
      </c>
      <c r="G28" s="13">
        <v>0</v>
      </c>
    </row>
    <row r="29" spans="1:7" x14ac:dyDescent="0.2">
      <c r="B29" s="13" t="s">
        <v>38</v>
      </c>
      <c r="C29" s="13" t="s">
        <v>39</v>
      </c>
      <c r="D29" s="15">
        <v>14</v>
      </c>
      <c r="E29" s="13" t="s">
        <v>46</v>
      </c>
      <c r="F29" s="13" t="s">
        <v>45</v>
      </c>
      <c r="G29" s="13">
        <v>0</v>
      </c>
    </row>
    <row r="30" spans="1:7" x14ac:dyDescent="0.2">
      <c r="B30" s="13" t="s">
        <v>40</v>
      </c>
      <c r="C30" s="13" t="s">
        <v>41</v>
      </c>
      <c r="D30" s="15">
        <v>30</v>
      </c>
      <c r="E30" s="13" t="s">
        <v>47</v>
      </c>
      <c r="F30" s="13" t="s">
        <v>45</v>
      </c>
      <c r="G30" s="13">
        <v>0</v>
      </c>
    </row>
    <row r="31" spans="1:7" x14ac:dyDescent="0.2">
      <c r="B31" s="13" t="s">
        <v>42</v>
      </c>
      <c r="C31" s="13" t="s">
        <v>43</v>
      </c>
      <c r="D31" s="15">
        <v>6.9333333333333327</v>
      </c>
      <c r="E31" s="13" t="s">
        <v>48</v>
      </c>
      <c r="F31" s="13" t="s">
        <v>49</v>
      </c>
      <c r="G31" s="13">
        <v>14.066666666666666</v>
      </c>
    </row>
    <row r="32" spans="1:7" ht="13.5" thickBot="1" x14ac:dyDescent="0.25">
      <c r="B32" s="10" t="s">
        <v>50</v>
      </c>
      <c r="C32" s="10"/>
      <c r="D32" s="10"/>
      <c r="E32" s="10"/>
      <c r="F32" s="10"/>
      <c r="G3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D413-AB40-44F0-83BF-5A9AA8A87001}">
  <sheetPr>
    <tabColor theme="9"/>
    <outlinePr summaryBelow="0"/>
  </sheetPr>
  <dimension ref="A1:F17"/>
  <sheetViews>
    <sheetView showGridLines="0" tabSelected="1" workbookViewId="0"/>
  </sheetViews>
  <sheetFormatPr defaultRowHeight="12.75" outlineLevelRow="1" outlineLevelCol="1" x14ac:dyDescent="0.2"/>
  <cols>
    <col min="3" max="3" width="22.42578125" bestFit="1" customWidth="1"/>
    <col min="4" max="6" width="13.28515625" bestFit="1" customWidth="1" outlineLevel="1"/>
  </cols>
  <sheetData>
    <row r="1" spans="1:6" ht="13.5" thickBot="1" x14ac:dyDescent="0.25">
      <c r="A1" s="30" t="s">
        <v>65</v>
      </c>
    </row>
    <row r="2" spans="1:6" ht="15" x14ac:dyDescent="0.25">
      <c r="B2" s="21" t="s">
        <v>58</v>
      </c>
      <c r="C2" s="21"/>
      <c r="D2" s="26"/>
      <c r="E2" s="26"/>
      <c r="F2" s="26"/>
    </row>
    <row r="3" spans="1:6" ht="15" collapsed="1" x14ac:dyDescent="0.25">
      <c r="B3" s="20"/>
      <c r="C3" s="20"/>
      <c r="D3" s="27" t="s">
        <v>60</v>
      </c>
      <c r="E3" s="27" t="s">
        <v>55</v>
      </c>
      <c r="F3" s="27" t="s">
        <v>57</v>
      </c>
    </row>
    <row r="4" spans="1:6" ht="33.75" hidden="1" outlineLevel="1" x14ac:dyDescent="0.2">
      <c r="B4" s="23"/>
      <c r="C4" s="23"/>
      <c r="D4" s="12"/>
      <c r="E4" s="29" t="s">
        <v>56</v>
      </c>
      <c r="F4" s="29" t="s">
        <v>56</v>
      </c>
    </row>
    <row r="5" spans="1:6" x14ac:dyDescent="0.2">
      <c r="B5" s="24" t="s">
        <v>59</v>
      </c>
      <c r="C5" s="24"/>
      <c r="D5" s="22"/>
      <c r="E5" s="22"/>
      <c r="F5" s="22"/>
    </row>
    <row r="6" spans="1:6" outlineLevel="1" x14ac:dyDescent="0.2">
      <c r="B6" s="23"/>
      <c r="C6" s="23" t="s">
        <v>39</v>
      </c>
      <c r="D6" s="17">
        <v>14</v>
      </c>
      <c r="E6" s="28">
        <v>14</v>
      </c>
      <c r="F6" s="28">
        <v>14</v>
      </c>
    </row>
    <row r="7" spans="1:6" outlineLevel="1" x14ac:dyDescent="0.2">
      <c r="B7" s="23"/>
      <c r="C7" s="23" t="s">
        <v>41</v>
      </c>
      <c r="D7" s="17">
        <v>30</v>
      </c>
      <c r="E7" s="28">
        <v>30</v>
      </c>
      <c r="F7" s="28">
        <v>30</v>
      </c>
    </row>
    <row r="8" spans="1:6" outlineLevel="1" x14ac:dyDescent="0.2">
      <c r="B8" s="23"/>
      <c r="C8" s="23" t="s">
        <v>43</v>
      </c>
      <c r="D8" s="17">
        <v>6.93333333333333</v>
      </c>
      <c r="E8" s="28">
        <v>-12.4</v>
      </c>
      <c r="F8" s="28">
        <v>6.93333333333333</v>
      </c>
    </row>
    <row r="9" spans="1:6" x14ac:dyDescent="0.2">
      <c r="B9" s="24" t="s">
        <v>61</v>
      </c>
      <c r="C9" s="24"/>
      <c r="D9" s="22"/>
      <c r="E9" s="22"/>
      <c r="F9" s="22"/>
    </row>
    <row r="10" spans="1:6" outlineLevel="1" x14ac:dyDescent="0.2">
      <c r="B10" s="23"/>
      <c r="C10" s="23" t="s">
        <v>39</v>
      </c>
      <c r="D10" s="17">
        <v>14</v>
      </c>
      <c r="E10" s="17">
        <v>14</v>
      </c>
      <c r="F10" s="17">
        <v>14</v>
      </c>
    </row>
    <row r="11" spans="1:6" outlineLevel="1" x14ac:dyDescent="0.2">
      <c r="B11" s="23"/>
      <c r="C11" s="23" t="s">
        <v>41</v>
      </c>
      <c r="D11" s="17">
        <v>30</v>
      </c>
      <c r="E11" s="17">
        <v>30</v>
      </c>
      <c r="F11" s="17">
        <v>30</v>
      </c>
    </row>
    <row r="12" spans="1:6" outlineLevel="1" x14ac:dyDescent="0.2">
      <c r="B12" s="23"/>
      <c r="C12" s="23" t="s">
        <v>43</v>
      </c>
      <c r="D12" s="17">
        <v>6.93333333333333</v>
      </c>
      <c r="E12" s="17">
        <v>-12.4</v>
      </c>
      <c r="F12" s="17">
        <v>6.93333333333333</v>
      </c>
    </row>
    <row r="13" spans="1:6" outlineLevel="1" x14ac:dyDescent="0.2">
      <c r="B13" s="23"/>
      <c r="C13" s="23" t="s">
        <v>54</v>
      </c>
      <c r="D13" s="17">
        <v>149133.33333333299</v>
      </c>
      <c r="E13" s="17">
        <v>42800</v>
      </c>
      <c r="F13" s="17">
        <v>149133.33333333299</v>
      </c>
    </row>
    <row r="14" spans="1:6" ht="13.5" outlineLevel="1" thickBot="1" x14ac:dyDescent="0.25">
      <c r="B14" s="25"/>
      <c r="C14" s="25" t="s">
        <v>37</v>
      </c>
      <c r="D14" s="19">
        <v>25000</v>
      </c>
      <c r="E14" s="19">
        <v>10500</v>
      </c>
      <c r="F14" s="19">
        <v>25000</v>
      </c>
    </row>
    <row r="15" spans="1:6" x14ac:dyDescent="0.2">
      <c r="B15" t="s">
        <v>62</v>
      </c>
    </row>
    <row r="16" spans="1:6" x14ac:dyDescent="0.2">
      <c r="B16" t="s">
        <v>63</v>
      </c>
    </row>
    <row r="17" spans="2:2" x14ac:dyDescent="0.2">
      <c r="B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Festival Ad Placements</vt:lpstr>
      <vt:lpstr>June Advertising Report</vt:lpstr>
      <vt:lpstr>October Advertising Report</vt:lpstr>
      <vt:lpstr>Advertising Summary</vt:lpstr>
      <vt:lpstr>Total_Budget</vt:lpstr>
      <vt:lpstr>Total_Newspaper_Ads</vt:lpstr>
      <vt:lpstr>Total_People_Reached</vt:lpstr>
      <vt:lpstr>Total_Radio_Ads</vt:lpstr>
      <vt:lpstr>Total_TV_Ads</vt:lpstr>
    </vt:vector>
  </TitlesOfParts>
  <Company>Town Festival Promotion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Joseph Korman</cp:lastModifiedBy>
  <dcterms:created xsi:type="dcterms:W3CDTF">2001-03-18T21:33:26Z</dcterms:created>
  <dcterms:modified xsi:type="dcterms:W3CDTF">2025-04-16T15:48:53Z</dcterms:modified>
</cp:coreProperties>
</file>