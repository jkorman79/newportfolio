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mc:AlternateContent xmlns:mc="http://schemas.openxmlformats.org/markup-compatibility/2006">
    <mc:Choice Requires="x15">
      <x15ac:absPath xmlns:x15ac="http://schemas.microsoft.com/office/spreadsheetml/2010/11/ac" url="/Users/josephkorman/Desktop/Class Documents/MIS 500/Homeworks/Homework #3/"/>
    </mc:Choice>
  </mc:AlternateContent>
  <xr:revisionPtr revIDLastSave="0" documentId="13_ncr:1_{3B938F4A-8936-9C4D-BA04-FE07C8FB2C7D}" xr6:coauthVersionLast="47" xr6:coauthVersionMax="47" xr10:uidLastSave="{00000000-0000-0000-0000-000000000000}"/>
  <bookViews>
    <workbookView xWindow="0" yWindow="760" windowWidth="30240" windowHeight="17460" activeTab="6" xr2:uid="{00000000-000D-0000-FFFF-FFFF00000000}"/>
  </bookViews>
  <sheets>
    <sheet name="6-Year Billable Hours" sheetId="20" r:id="rId1"/>
    <sheet name="Trendline Chart" sheetId="22" r:id="rId2"/>
    <sheet name="Revenue Pivot Chart" sheetId="26" r:id="rId3"/>
    <sheet name="Revenue PivotTable" sheetId="24" r:id="rId4"/>
    <sheet name="Slicers" sheetId="28" r:id="rId5"/>
    <sheet name="Average Revenue" sheetId="27" r:id="rId6"/>
    <sheet name="Box and Whisker Chart" sheetId="29" r:id="rId7"/>
    <sheet name="Analysis Figures" sheetId="19" r:id="rId8"/>
  </sheets>
  <definedNames>
    <definedName name="_xlchart.v1.0" hidden="1">'Analysis Figures'!$B$3:$B$32</definedName>
    <definedName name="_xlchart.v1.1" hidden="1">'Analysis Figures'!$E$2</definedName>
    <definedName name="_xlchart.v1.2" hidden="1">'Analysis Figures'!$E$3:$E$32</definedName>
    <definedName name="_xlchart.v1.3" hidden="1">'Analysis Figures'!$B$3:$B$32</definedName>
    <definedName name="_xlchart.v1.4" hidden="1">'Analysis Figures'!$E$2</definedName>
    <definedName name="_xlchart.v1.5" hidden="1">'Analysis Figures'!$E$3:$E$32</definedName>
    <definedName name="Slicer_Accounting_Type">#N/A</definedName>
    <definedName name="Slicer_City">#N/A</definedName>
    <definedName name="Slicer_Employee_Experience">#N/A</definedName>
  </definedNames>
  <calcPr calcId="191029"/>
  <pivotCaches>
    <pivotCache cacheId="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0" l="1"/>
  <c r="F5" i="20"/>
</calcChain>
</file>

<file path=xl/sharedStrings.xml><?xml version="1.0" encoding="utf-8"?>
<sst xmlns="http://schemas.openxmlformats.org/spreadsheetml/2006/main" count="154" uniqueCount="32">
  <si>
    <t>City</t>
  </si>
  <si>
    <t>Six-Year History</t>
  </si>
  <si>
    <t>Total Billable Hours</t>
  </si>
  <si>
    <t>Bell &amp; Rodgers Billable Hours</t>
  </si>
  <si>
    <t xml:space="preserve">Bell &amp; Rodgers </t>
  </si>
  <si>
    <t>Employee Experience</t>
  </si>
  <si>
    <t>Accounting Type</t>
  </si>
  <si>
    <t>Billable Hours 2020</t>
  </si>
  <si>
    <t>Billable Hours 2021</t>
  </si>
  <si>
    <t>2020 Revenue</t>
  </si>
  <si>
    <t>2021 Revenue</t>
  </si>
  <si>
    <t>Durante</t>
  </si>
  <si>
    <t>0 to 5 Years</t>
  </si>
  <si>
    <t>General</t>
  </si>
  <si>
    <t>Forensics</t>
  </si>
  <si>
    <t>Investment</t>
  </si>
  <si>
    <t>Taxes</t>
  </si>
  <si>
    <t>Auditing</t>
  </si>
  <si>
    <t>6 to 10 Years</t>
  </si>
  <si>
    <t>More than 10 Years</t>
  </si>
  <si>
    <t>Jamison</t>
  </si>
  <si>
    <t>Grand Total</t>
  </si>
  <si>
    <t>2020 Total Revenue</t>
  </si>
  <si>
    <t>2021 Total Revenue</t>
  </si>
  <si>
    <t>Bell &amp; Rodgers Accounting Report</t>
  </si>
  <si>
    <t>2020 and 2021</t>
  </si>
  <si>
    <t>Durante Total</t>
  </si>
  <si>
    <t>Jamison Total</t>
  </si>
  <si>
    <t>Sum of Average 2020 Billing Per Hour</t>
  </si>
  <si>
    <t>Sum of Average 2021 Billing Per Hour</t>
  </si>
  <si>
    <t>Bell &amp; Rodgers</t>
  </si>
  <si>
    <t>Average Billing Per Hour, 2020 ans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</si>
</sst>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8" formatCode="&quot;$&quot;#,##0"/>
  </numFmts>
  <fonts count="7" x14ac:knownFonts="1">
    <font>
      <sz val="11"/>
      <color theme="1"/>
      <name val="Calibri"/>
      <family val="2"/>
      <scheme val="minor"/>
    </font>
    <font>
      <b/>
      <sz val="11"/>
      <color theme="1"/>
      <name val="Calibri"/>
      <family val="2"/>
      <scheme val="minor"/>
    </font>
    <font>
      <sz val="12"/>
      <color theme="1"/>
      <name val="Calibri"/>
      <family val="2"/>
      <scheme val="minor"/>
    </font>
    <font>
      <sz val="12"/>
      <color theme="1"/>
      <name val="Calisto MT"/>
      <family val="1"/>
    </font>
    <font>
      <b/>
      <sz val="15"/>
      <color theme="3"/>
      <name val="Calibri"/>
      <family val="2"/>
      <scheme val="minor"/>
    </font>
    <font>
      <sz val="18"/>
      <color theme="3"/>
      <name val="Calibri Light"/>
      <family val="2"/>
      <scheme val="major"/>
    </font>
    <font>
      <b/>
      <sz val="11"/>
      <color theme="3"/>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rgb="FFFF0000"/>
      </bottom>
      <diagonal/>
    </border>
  </borders>
  <cellStyleXfs count="4">
    <xf numFmtId="0" fontId="0" fillId="0" borderId="0"/>
    <xf numFmtId="0" fontId="4" fillId="0" borderId="1"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3" fontId="3" fillId="0" borderId="0" xfId="0" applyNumberFormat="1" applyFont="1"/>
    <xf numFmtId="0" fontId="0" fillId="0" borderId="0" xfId="0" quotePrefix="1"/>
    <xf numFmtId="164" fontId="0" fillId="0" borderId="0" xfId="0" applyNumberFormat="1"/>
    <xf numFmtId="16" fontId="0" fillId="0" borderId="0" xfId="0" quotePrefix="1" applyNumberFormat="1"/>
    <xf numFmtId="164" fontId="3" fillId="0" borderId="0" xfId="0" applyNumberFormat="1"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vertical="center" wrapText="1"/>
    </xf>
    <xf numFmtId="0" fontId="4" fillId="0" borderId="0" xfId="1" applyBorder="1" applyAlignment="1">
      <alignment horizontal="center"/>
    </xf>
    <xf numFmtId="0" fontId="4" fillId="0" borderId="2" xfId="1" applyBorder="1" applyAlignment="1">
      <alignment horizontal="center"/>
    </xf>
    <xf numFmtId="0" fontId="5" fillId="0" borderId="0" xfId="2" applyAlignment="1">
      <alignment horizontal="center"/>
    </xf>
    <xf numFmtId="0" fontId="6" fillId="0" borderId="0" xfId="3" applyAlignment="1">
      <alignment horizontal="center"/>
    </xf>
    <xf numFmtId="0" fontId="4" fillId="0" borderId="1" xfId="1" applyAlignment="1">
      <alignment horizontal="center"/>
    </xf>
    <xf numFmtId="0" fontId="0" fillId="0" borderId="0" xfId="0" applyAlignment="1">
      <alignment horizontal="left"/>
    </xf>
    <xf numFmtId="0" fontId="0" fillId="0" borderId="0" xfId="0" applyAlignment="1">
      <alignment horizontal="left" indent="1"/>
    </xf>
    <xf numFmtId="168" fontId="0" fillId="0" borderId="0" xfId="0" applyNumberFormat="1"/>
    <xf numFmtId="0" fontId="0" fillId="0" borderId="0" xfId="0" applyAlignment="1">
      <alignment horizontal="center" wrapText="1"/>
    </xf>
  </cellXfs>
  <cellStyles count="4">
    <cellStyle name="Heading 1" xfId="1" builtinId="16"/>
    <cellStyle name="Heading 4" xfId="3" builtinId="19"/>
    <cellStyle name="Normal" xfId="0" builtinId="0"/>
    <cellStyle name="Title" xfId="2" builtinId="15"/>
  </cellStyles>
  <dxfs count="32">
    <dxf>
      <numFmt numFmtId="5" formatCode="#,##0_);\(#,##0\)"/>
    </dxf>
    <dxf>
      <numFmt numFmtId="5" formatCode="#,##0_);\(#,##0\)"/>
    </dxf>
    <dxf>
      <numFmt numFmtId="5" formatCode="#,##0_);\(#,##0\)"/>
    </dxf>
    <dxf>
      <numFmt numFmtId="5" formatCode="#,##0_);\(#,##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alignment horizontal="center"/>
    </dxf>
    <dxf>
      <alignment wrapText="1"/>
    </dxf>
    <dxf>
      <alignment horizontal="center"/>
    </dxf>
    <dxf>
      <alignment wrapText="1"/>
    </dxf>
    <dxf>
      <alignment wrapText="1"/>
    </dxf>
    <dxf>
      <alignment horizontal="center"/>
    </dxf>
    <dxf>
      <alignment wrapText="1"/>
    </dxf>
    <dxf>
      <alignment horizontal="center"/>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5" formatCode="#,##0_);\(#,##0\)"/>
    </dxf>
    <dxf>
      <numFmt numFmtId="5" formatCode="#,##0_);\(#,##0\)"/>
    </dxf>
    <dxf>
      <numFmt numFmtId="5" formatCode="#,##0_);\(#,##0\)"/>
    </dxf>
    <dxf>
      <numFmt numFmtId="5" formatCode="#,##0_);\(#,##0\)"/>
    </dxf>
  </dxfs>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theme" Target="theme/theme1.xml"/><Relationship Id="rId3" Type="http://schemas.openxmlformats.org/officeDocument/2006/relationships/chartsheet" Target="chartsheets/sheet2.xml"/><Relationship Id="rId7" Type="http://schemas.openxmlformats.org/officeDocument/2006/relationships/chartsheet" Target="chartsheets/sheet3.xml"/><Relationship Id="rId12" Type="http://schemas.microsoft.com/office/2007/relationships/slicerCache" Target="slicerCaches/slicerCache3.xml"/><Relationship Id="rId2" Type="http://schemas.openxmlformats.org/officeDocument/2006/relationships/chartsheet" Target="chartsheets/sheet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4.xml"/><Relationship Id="rId11" Type="http://schemas.microsoft.com/office/2007/relationships/slicerCache" Target="slicerCaches/slicerCache2.xml"/><Relationship Id="rId5" Type="http://schemas.openxmlformats.org/officeDocument/2006/relationships/worksheet" Target="worksheets/sheet3.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2.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Billable Hours 2016</a:t>
            </a:r>
            <a:r>
              <a:rPr lang="en-US" b="1" baseline="0"/>
              <a:t> - 2021</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'6-Year Billable Hours'!$A$5</c:f>
              <c:strCache>
                <c:ptCount val="1"/>
                <c:pt idx="0">
                  <c:v>Total Billable 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12"/>
              <c:spPr>
                <a:solidFill>
                  <a:schemeClr val="tx1"/>
                </a:solidFill>
                <a:ln w="9525">
                  <a:solidFill>
                    <a:schemeClr val="tx1"/>
                  </a:solidFill>
                </a:ln>
                <a:effectLst/>
              </c:spPr>
            </c:marker>
            <c:bubble3D val="0"/>
            <c:extLst>
              <c:ext xmlns:c16="http://schemas.microsoft.com/office/drawing/2014/chart" uri="{C3380CC4-5D6E-409C-BE32-E72D297353CC}">
                <c16:uniqueId val="{00000001-76D8-7345-8690-CBC728BE0167}"/>
              </c:ext>
            </c:extLst>
          </c:dPt>
          <c:trendline>
            <c:spPr>
              <a:ln w="19050" cap="rnd">
                <a:solidFill>
                  <a:schemeClr val="accent1"/>
                </a:solidFill>
                <a:prstDash val="sysDot"/>
              </a:ln>
              <a:effectLst/>
            </c:spPr>
            <c:trendlineType val="linear"/>
            <c:forward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'6-Year Billable Hours'!$B$4:$G$4</c:f>
              <c:numCache>
                <c:formatCode>General</c:formatCode>
                <c:ptCount val="6"/>
                <c:pt idx="0">
                  <c:v>2016</c:v>
                </c:pt>
                <c:pt idx="1">
                  <c:v>2017</c:v>
                </c:pt>
                <c:pt idx="2">
                  <c:v>2018</c:v>
                </c:pt>
                <c:pt idx="3">
                  <c:v>2019</c:v>
                </c:pt>
                <c:pt idx="4">
                  <c:v>2020</c:v>
                </c:pt>
                <c:pt idx="5">
                  <c:v>2021</c:v>
                </c:pt>
              </c:numCache>
            </c:numRef>
          </c:cat>
          <c:val>
            <c:numRef>
              <c:f>'6-Year Billable Hours'!$B$5:$G$5</c:f>
              <c:numCache>
                <c:formatCode>_(* #,##0_);_(* \(#,##0\);_(* "-"??_);_(@_)</c:formatCode>
                <c:ptCount val="6"/>
                <c:pt idx="0">
                  <c:v>110092</c:v>
                </c:pt>
                <c:pt idx="1">
                  <c:v>103254</c:v>
                </c:pt>
                <c:pt idx="2">
                  <c:v>148016</c:v>
                </c:pt>
                <c:pt idx="3">
                  <c:v>157789</c:v>
                </c:pt>
                <c:pt idx="4" formatCode="#,##0">
                  <c:v>166133</c:v>
                </c:pt>
                <c:pt idx="5" formatCode="#,##0">
                  <c:v>179041</c:v>
                </c:pt>
              </c:numCache>
            </c:numRef>
          </c:val>
          <c:smooth val="0"/>
          <c:extLst>
            <c:ext xmlns:c16="http://schemas.microsoft.com/office/drawing/2014/chart" uri="{C3380CC4-5D6E-409C-BE32-E72D297353CC}">
              <c16:uniqueId val="{00000000-76D8-7345-8690-CBC728BE0167}"/>
            </c:ext>
          </c:extLst>
        </c:ser>
        <c:dLbls>
          <c:showLegendKey val="0"/>
          <c:showVal val="0"/>
          <c:showCatName val="0"/>
          <c:showSerName val="0"/>
          <c:showPercent val="0"/>
          <c:showBubbleSize val="0"/>
        </c:dLbls>
        <c:marker val="1"/>
        <c:smooth val="0"/>
        <c:axId val="407984496"/>
        <c:axId val="408202144"/>
      </c:lineChart>
      <c:catAx>
        <c:axId val="40798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02144"/>
        <c:crosses val="autoZero"/>
        <c:auto val="1"/>
        <c:lblAlgn val="ctr"/>
        <c:lblOffset val="100"/>
        <c:noMultiLvlLbl val="0"/>
      </c:catAx>
      <c:valAx>
        <c:axId val="408202144"/>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84496"/>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[SC_EX_8_Bell&amp;RodgersAccountingAnalysis.xlsx]Revenue PivotTable!PivotTable2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Bell &amp; Rodgers</a:t>
            </a:r>
          </a:p>
          <a:p>
            <a:pPr>
              <a:defRPr/>
            </a:pPr>
            <a:r>
              <a:rPr lang="en-US">
                <a:solidFill>
                  <a:schemeClr val="tx1"/>
                </a:solidFill>
              </a:rPr>
              <a:t>Total Revenue by Employee Experience and Accounting Type</a:t>
            </a:r>
          </a:p>
          <a:p>
            <a:pPr>
              <a:defRPr/>
            </a:pPr>
            <a:r>
              <a:rPr lang="en-US">
                <a:solidFill>
                  <a:schemeClr val="tx1"/>
                </a:solidFill>
              </a:rPr>
              <a:t>2020</a:t>
            </a:r>
            <a:r>
              <a:rPr lang="en-US" baseline="0">
                <a:solidFill>
                  <a:schemeClr val="tx1"/>
                </a:solidFill>
              </a:rPr>
              <a:t> and 2021</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gradFill flip="none" rotWithShape="1">
          <a:gsLst>
            <a:gs pos="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col"/>
        <c:grouping val="clustered"/>
        <c:varyColors val="0"/>
        <c:ser>
          <c:idx val="0"/>
          <c:order val="0"/>
          <c:tx>
            <c:strRef>
              <c:f>'Revenue PivotTable'!$C$6</c:f>
              <c:strCache>
                <c:ptCount val="1"/>
                <c:pt idx="0">
                  <c:v>2020 Total Revenue</c:v>
                </c:pt>
              </c:strCache>
            </c:strRef>
          </c:tx>
          <c:spPr>
            <a:solidFill>
              <a:schemeClr val="accent1"/>
            </a:solidFill>
            <a:ln>
              <a:noFill/>
            </a:ln>
            <a:effectLst/>
            <a:sp3d/>
          </c:spPr>
          <c:invertIfNegative val="0"/>
          <c:cat>
            <c:multiLvlStrRef>
              <c:f>'Revenue PivotTable'!$A$7:$B$19</c:f>
              <c:multiLvlStrCache>
                <c:ptCount val="10"/>
                <c:lvl>
                  <c:pt idx="0">
                    <c:v>Auditing</c:v>
                  </c:pt>
                  <c:pt idx="1">
                    <c:v>Forensics</c:v>
                  </c:pt>
                  <c:pt idx="2">
                    <c:v>General</c:v>
                  </c:pt>
                  <c:pt idx="3">
                    <c:v>Investment</c:v>
                  </c:pt>
                  <c:pt idx="4">
                    <c:v>Taxes</c:v>
                  </c:pt>
                  <c:pt idx="5">
                    <c:v>Auditing</c:v>
                  </c:pt>
                  <c:pt idx="6">
                    <c:v>Forensics</c:v>
                  </c:pt>
                  <c:pt idx="7">
                    <c:v>General</c:v>
                  </c:pt>
                  <c:pt idx="8">
                    <c:v>Investment</c:v>
                  </c:pt>
                  <c:pt idx="9">
                    <c:v>Taxes</c:v>
                  </c:pt>
                </c:lvl>
                <c:lvl>
                  <c:pt idx="0">
                    <c:v>Durante</c:v>
                  </c:pt>
                  <c:pt idx="5">
                    <c:v>Jamison</c:v>
                  </c:pt>
                </c:lvl>
              </c:multiLvlStrCache>
            </c:multiLvlStrRef>
          </c:cat>
          <c:val>
            <c:numRef>
              <c:f>'Revenue PivotTable'!$C$7:$C$19</c:f>
              <c:numCache>
                <c:formatCode>_(* #,##0_);_(* \(#,##0\);_(* "-"??_);_(@_)</c:formatCode>
                <c:ptCount val="10"/>
                <c:pt idx="0">
                  <c:v>970233</c:v>
                </c:pt>
                <c:pt idx="1">
                  <c:v>1235520</c:v>
                </c:pt>
                <c:pt idx="2">
                  <c:v>2548720</c:v>
                </c:pt>
                <c:pt idx="3">
                  <c:v>2040751</c:v>
                </c:pt>
                <c:pt idx="4">
                  <c:v>3770377</c:v>
                </c:pt>
                <c:pt idx="5">
                  <c:v>888105</c:v>
                </c:pt>
                <c:pt idx="6">
                  <c:v>972176</c:v>
                </c:pt>
                <c:pt idx="7">
                  <c:v>1279993</c:v>
                </c:pt>
                <c:pt idx="8">
                  <c:v>1094412</c:v>
                </c:pt>
                <c:pt idx="9">
                  <c:v>1997570</c:v>
                </c:pt>
              </c:numCache>
            </c:numRef>
          </c:val>
          <c:shape val="pyramid"/>
          <c:extLst>
            <c:ext xmlns:c16="http://schemas.microsoft.com/office/drawing/2014/chart" uri="{C3380CC4-5D6E-409C-BE32-E72D297353CC}">
              <c16:uniqueId val="{00000000-B228-064E-B760-C5F3BE764E0B}"/>
            </c:ext>
          </c:extLst>
        </c:ser>
        <c:ser>
          <c:idx val="1"/>
          <c:order val="1"/>
          <c:tx>
            <c:strRef>
              <c:f>'Revenue PivotTable'!$D$6</c:f>
              <c:strCache>
                <c:ptCount val="1"/>
                <c:pt idx="0">
                  <c:v>2021 Total Revenue</c:v>
                </c:pt>
              </c:strCache>
            </c:strRef>
          </c:tx>
          <c:spPr>
            <a:solidFill>
              <a:schemeClr val="accent2"/>
            </a:solidFill>
            <a:ln>
              <a:noFill/>
            </a:ln>
            <a:effectLst/>
            <a:sp3d/>
          </c:spPr>
          <c:invertIfNegative val="0"/>
          <c:cat>
            <c:multiLvlStrRef>
              <c:f>'Revenue PivotTable'!$A$7:$B$19</c:f>
              <c:multiLvlStrCache>
                <c:ptCount val="10"/>
                <c:lvl>
                  <c:pt idx="0">
                    <c:v>Auditing</c:v>
                  </c:pt>
                  <c:pt idx="1">
                    <c:v>Forensics</c:v>
                  </c:pt>
                  <c:pt idx="2">
                    <c:v>General</c:v>
                  </c:pt>
                  <c:pt idx="3">
                    <c:v>Investment</c:v>
                  </c:pt>
                  <c:pt idx="4">
                    <c:v>Taxes</c:v>
                  </c:pt>
                  <c:pt idx="5">
                    <c:v>Auditing</c:v>
                  </c:pt>
                  <c:pt idx="6">
                    <c:v>Forensics</c:v>
                  </c:pt>
                  <c:pt idx="7">
                    <c:v>General</c:v>
                  </c:pt>
                  <c:pt idx="8">
                    <c:v>Investment</c:v>
                  </c:pt>
                  <c:pt idx="9">
                    <c:v>Taxes</c:v>
                  </c:pt>
                </c:lvl>
                <c:lvl>
                  <c:pt idx="0">
                    <c:v>Durante</c:v>
                  </c:pt>
                  <c:pt idx="5">
                    <c:v>Jamison</c:v>
                  </c:pt>
                </c:lvl>
              </c:multiLvlStrCache>
            </c:multiLvlStrRef>
          </c:cat>
          <c:val>
            <c:numRef>
              <c:f>'Revenue PivotTable'!$D$7:$D$19</c:f>
              <c:numCache>
                <c:formatCode>_(* #,##0_);_(* \(#,##0\);_(* "-"??_);_(@_)</c:formatCode>
                <c:ptCount val="10"/>
                <c:pt idx="0">
                  <c:v>1054506</c:v>
                </c:pt>
                <c:pt idx="1">
                  <c:v>1342462</c:v>
                </c:pt>
                <c:pt idx="2">
                  <c:v>2769054</c:v>
                </c:pt>
                <c:pt idx="3">
                  <c:v>2172951</c:v>
                </c:pt>
                <c:pt idx="4">
                  <c:v>4160731</c:v>
                </c:pt>
                <c:pt idx="5">
                  <c:v>965029</c:v>
                </c:pt>
                <c:pt idx="6">
                  <c:v>1056129</c:v>
                </c:pt>
                <c:pt idx="7">
                  <c:v>1357230</c:v>
                </c:pt>
                <c:pt idx="8">
                  <c:v>1188635</c:v>
                </c:pt>
                <c:pt idx="9">
                  <c:v>2160493</c:v>
                </c:pt>
              </c:numCache>
            </c:numRef>
          </c:val>
          <c:shape val="pyramid"/>
          <c:extLst>
            <c:ext xmlns:c16="http://schemas.microsoft.com/office/drawing/2014/chart" uri="{C3380CC4-5D6E-409C-BE32-E72D297353CC}">
              <c16:uniqueId val="{00000001-B228-064E-B760-C5F3BE764E0B}"/>
            </c:ext>
          </c:extLst>
        </c:ser>
        <c:dLbls>
          <c:showLegendKey val="0"/>
          <c:showVal val="0"/>
          <c:showCatName val="0"/>
          <c:showSerName val="0"/>
          <c:showPercent val="0"/>
          <c:showBubbleSize val="0"/>
        </c:dLbls>
        <c:gapWidth val="219"/>
        <c:shape val="box"/>
        <c:axId val="646037568"/>
        <c:axId val="646039280"/>
        <c:axId val="0"/>
      </c:bar3DChart>
      <c:catAx>
        <c:axId val="6460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39280"/>
        <c:crosses val="autoZero"/>
        <c:auto val="1"/>
        <c:lblAlgn val="ctr"/>
        <c:lblOffset val="100"/>
        <c:noMultiLvlLbl val="0"/>
      </c:catAx>
      <c:valAx>
        <c:axId val="6460392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3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[SC_EX_8_Bell&amp;RodgersAccountingAnalysis.xlsx]Slicers!PivotTable1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c:f>
              <c:strCache>
                <c:ptCount val="1"/>
                <c:pt idx="0">
                  <c:v>Sum of Average 2020 Billing Per Hour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Slicers!$A$4:$A$12</c:f>
              <c:multiLvlStrCache>
                <c:ptCount val="6"/>
                <c:lvl>
                  <c:pt idx="0">
                    <c:v>0 to 5 Years</c:v>
                  </c:pt>
                  <c:pt idx="1">
                    <c:v>6 to 10 Years</c:v>
                  </c:pt>
                  <c:pt idx="2">
                    <c:v>More than 10 Years</c:v>
                  </c:pt>
                  <c:pt idx="3">
                    <c:v>0 to 5 Years</c:v>
                  </c:pt>
                  <c:pt idx="4">
                    <c:v>6 to 10 Years</c:v>
                  </c:pt>
                  <c:pt idx="5">
                    <c:v>More than 10 Years</c:v>
                  </c:pt>
                </c:lvl>
                <c:lvl>
                  <c:pt idx="0">
                    <c:v>Durante</c:v>
                  </c:pt>
                  <c:pt idx="3">
                    <c:v>Jamison</c:v>
                  </c:pt>
                </c:lvl>
              </c:multiLvlStrCache>
            </c:multiLvlStrRef>
          </c:cat>
          <c:val>
            <c:numRef>
              <c:f>Slicers!$B$4:$B$12</c:f>
              <c:numCache>
                <c:formatCode>"$"#,##0</c:formatCode>
                <c:ptCount val="6"/>
                <c:pt idx="0">
                  <c:v>96.843480888351721</c:v>
                </c:pt>
                <c:pt idx="1">
                  <c:v>86.282318328920269</c:v>
                </c:pt>
                <c:pt idx="2">
                  <c:v>87.669843995992551</c:v>
                </c:pt>
                <c:pt idx="3">
                  <c:v>113.91517671517671</c:v>
                </c:pt>
                <c:pt idx="4">
                  <c:v>119.76910016977929</c:v>
                </c:pt>
                <c:pt idx="5">
                  <c:v>127.2361154855643</c:v>
                </c:pt>
              </c:numCache>
            </c:numRef>
          </c:val>
          <c:extLst>
            <c:ext xmlns:c16="http://schemas.microsoft.com/office/drawing/2014/chart" uri="{C3380CC4-5D6E-409C-BE32-E72D297353CC}">
              <c16:uniqueId val="{00000002-9B78-2240-B072-158A28AF7A89}"/>
            </c:ext>
          </c:extLst>
        </c:ser>
        <c:ser>
          <c:idx val="1"/>
          <c:order val="1"/>
          <c:tx>
            <c:strRef>
              <c:f>Slicers!$C$3</c:f>
              <c:strCache>
                <c:ptCount val="1"/>
                <c:pt idx="0">
                  <c:v>Sum of Average 2021 Billing Per Hour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Slicers!$A$4:$A$12</c:f>
              <c:multiLvlStrCache>
                <c:ptCount val="6"/>
                <c:lvl>
                  <c:pt idx="0">
                    <c:v>0 to 5 Years</c:v>
                  </c:pt>
                  <c:pt idx="1">
                    <c:v>6 to 10 Years</c:v>
                  </c:pt>
                  <c:pt idx="2">
                    <c:v>More than 10 Years</c:v>
                  </c:pt>
                  <c:pt idx="3">
                    <c:v>0 to 5 Years</c:v>
                  </c:pt>
                  <c:pt idx="4">
                    <c:v>6 to 10 Years</c:v>
                  </c:pt>
                  <c:pt idx="5">
                    <c:v>More than 10 Years</c:v>
                  </c:pt>
                </c:lvl>
                <c:lvl>
                  <c:pt idx="0">
                    <c:v>Durante</c:v>
                  </c:pt>
                  <c:pt idx="3">
                    <c:v>Jamison</c:v>
                  </c:pt>
                </c:lvl>
              </c:multiLvlStrCache>
            </c:multiLvlStrRef>
          </c:cat>
          <c:val>
            <c:numRef>
              <c:f>Slicers!$C$4:$C$12</c:f>
              <c:numCache>
                <c:formatCode>"$"#,##0</c:formatCode>
                <c:ptCount val="6"/>
                <c:pt idx="0">
                  <c:v>97.450104239054895</c:v>
                </c:pt>
                <c:pt idx="1">
                  <c:v>87.713134832072285</c:v>
                </c:pt>
                <c:pt idx="2">
                  <c:v>88.962646373161121</c:v>
                </c:pt>
                <c:pt idx="3">
                  <c:v>114.46652987945627</c:v>
                </c:pt>
                <c:pt idx="4">
                  <c:v>120.31919572730129</c:v>
                </c:pt>
                <c:pt idx="5">
                  <c:v>126.99980574980574</c:v>
                </c:pt>
              </c:numCache>
            </c:numRef>
          </c:val>
          <c:extLst>
            <c:ext xmlns:c16="http://schemas.microsoft.com/office/drawing/2014/chart" uri="{C3380CC4-5D6E-409C-BE32-E72D297353CC}">
              <c16:uniqueId val="{00000003-9B78-2240-B072-158A28AF7A89}"/>
            </c:ext>
          </c:extLst>
        </c:ser>
        <c:dLbls>
          <c:showLegendKey val="0"/>
          <c:showVal val="0"/>
          <c:showCatName val="0"/>
          <c:showSerName val="0"/>
          <c:showPercent val="0"/>
          <c:showBubbleSize val="0"/>
        </c:dLbls>
        <c:gapWidth val="100"/>
        <c:overlap val="-24"/>
        <c:axId val="87082623"/>
        <c:axId val="87084335"/>
      </c:barChart>
      <c:catAx>
        <c:axId val="87082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84335"/>
        <c:crosses val="autoZero"/>
        <c:auto val="1"/>
        <c:lblAlgn val="ctr"/>
        <c:lblOffset val="100"/>
        <c:noMultiLvlLbl val="0"/>
      </c:catAx>
      <c:valAx>
        <c:axId val="87084335"/>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8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[SC_EX_8_Bell&amp;RodgersAccountingAnalysis.xlsx]Average Revenue!PivotTable1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Revenue'!$B$3</c:f>
              <c:strCache>
                <c:ptCount val="1"/>
                <c:pt idx="0">
                  <c:v>Sum of Average 2020 Billing Per Hour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'Average Revenue'!$A$4:$A$12</c:f>
              <c:multiLvlStrCache>
                <c:ptCount val="6"/>
                <c:lvl>
                  <c:pt idx="0">
                    <c:v>0 to 5 Years</c:v>
                  </c:pt>
                  <c:pt idx="1">
                    <c:v>6 to 10 Years</c:v>
                  </c:pt>
                  <c:pt idx="2">
                    <c:v>More than 10 Years</c:v>
                  </c:pt>
                  <c:pt idx="3">
                    <c:v>0 to 5 Years</c:v>
                  </c:pt>
                  <c:pt idx="4">
                    <c:v>6 to 10 Years</c:v>
                  </c:pt>
                  <c:pt idx="5">
                    <c:v>More than 10 Years</c:v>
                  </c:pt>
                </c:lvl>
                <c:lvl>
                  <c:pt idx="0">
                    <c:v>Durante</c:v>
                  </c:pt>
                  <c:pt idx="3">
                    <c:v>Jamison</c:v>
                  </c:pt>
                </c:lvl>
              </c:multiLvlStrCache>
            </c:multiLvlStrRef>
          </c:cat>
          <c:val>
            <c:numRef>
              <c:f>'Average Revenue'!$B$4:$B$12</c:f>
              <c:numCache>
                <c:formatCode>"$"#,##0</c:formatCode>
                <c:ptCount val="6"/>
                <c:pt idx="0">
                  <c:v>100.22815738156234</c:v>
                </c:pt>
                <c:pt idx="1">
                  <c:v>91.755172413793105</c:v>
                </c:pt>
                <c:pt idx="2">
                  <c:v>93.900174216027878</c:v>
                </c:pt>
                <c:pt idx="3">
                  <c:v>103.81608310888804</c:v>
                </c:pt>
                <c:pt idx="4">
                  <c:v>114.66313497822932</c:v>
                </c:pt>
                <c:pt idx="5">
                  <c:v>119.24455516014235</c:v>
                </c:pt>
              </c:numCache>
            </c:numRef>
          </c:val>
          <c:extLst>
            <c:ext xmlns:c16="http://schemas.microsoft.com/office/drawing/2014/chart" uri="{C3380CC4-5D6E-409C-BE32-E72D297353CC}">
              <c16:uniqueId val="{00000000-0E84-0C4C-9852-7F1A39BFDF55}"/>
            </c:ext>
          </c:extLst>
        </c:ser>
        <c:ser>
          <c:idx val="1"/>
          <c:order val="1"/>
          <c:tx>
            <c:strRef>
              <c:f>'Average Revenue'!$C$3</c:f>
              <c:strCache>
                <c:ptCount val="1"/>
                <c:pt idx="0">
                  <c:v>Sum of Average 2021 Billing Per Hour</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'Average Revenue'!$A$4:$A$12</c:f>
              <c:multiLvlStrCache>
                <c:ptCount val="6"/>
                <c:lvl>
                  <c:pt idx="0">
                    <c:v>0 to 5 Years</c:v>
                  </c:pt>
                  <c:pt idx="1">
                    <c:v>6 to 10 Years</c:v>
                  </c:pt>
                  <c:pt idx="2">
                    <c:v>More than 10 Years</c:v>
                  </c:pt>
                  <c:pt idx="3">
                    <c:v>0 to 5 Years</c:v>
                  </c:pt>
                  <c:pt idx="4">
                    <c:v>6 to 10 Years</c:v>
                  </c:pt>
                  <c:pt idx="5">
                    <c:v>More than 10 Years</c:v>
                  </c:pt>
                </c:lvl>
                <c:lvl>
                  <c:pt idx="0">
                    <c:v>Durante</c:v>
                  </c:pt>
                  <c:pt idx="3">
                    <c:v>Jamison</c:v>
                  </c:pt>
                </c:lvl>
              </c:multiLvlStrCache>
            </c:multiLvlStrRef>
          </c:cat>
          <c:val>
            <c:numRef>
              <c:f>'Average Revenue'!$C$4:$C$12</c:f>
              <c:numCache>
                <c:formatCode>"$"#,##0</c:formatCode>
                <c:ptCount val="6"/>
                <c:pt idx="0">
                  <c:v>100.79712803866916</c:v>
                </c:pt>
                <c:pt idx="1">
                  <c:v>92.842322134715715</c:v>
                </c:pt>
                <c:pt idx="2">
                  <c:v>94.945165008197648</c:v>
                </c:pt>
                <c:pt idx="3">
                  <c:v>103.7954905633194</c:v>
                </c:pt>
                <c:pt idx="4">
                  <c:v>115.21328499171926</c:v>
                </c:pt>
                <c:pt idx="5">
                  <c:v>119.08542956231616</c:v>
                </c:pt>
              </c:numCache>
            </c:numRef>
          </c:val>
          <c:extLst>
            <c:ext xmlns:c16="http://schemas.microsoft.com/office/drawing/2014/chart" uri="{C3380CC4-5D6E-409C-BE32-E72D297353CC}">
              <c16:uniqueId val="{00000002-0E84-0C4C-9852-7F1A39BFDF55}"/>
            </c:ext>
          </c:extLst>
        </c:ser>
        <c:dLbls>
          <c:showLegendKey val="0"/>
          <c:showVal val="0"/>
          <c:showCatName val="0"/>
          <c:showSerName val="0"/>
          <c:showPercent val="0"/>
          <c:showBubbleSize val="0"/>
        </c:dLbls>
        <c:gapWidth val="315"/>
        <c:overlap val="-40"/>
        <c:axId val="87082623"/>
        <c:axId val="87084335"/>
      </c:barChart>
      <c:catAx>
        <c:axId val="870826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084335"/>
        <c:crosses val="autoZero"/>
        <c:auto val="1"/>
        <c:lblAlgn val="ctr"/>
        <c:lblOffset val="100"/>
        <c:noMultiLvlLbl val="0"/>
      </c:catAx>
      <c:valAx>
        <c:axId val="87084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08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2021 Billable Hours by Experience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2021 Billable Hours by Experience</a:t>
          </a:r>
        </a:p>
      </cx:txPr>
    </cx:title>
    <cx:plotArea>
      <cx:plotAreaRegion>
        <cx:series layoutId="boxWhisker" uniqueId="{FADCC9FC-16C3-394A-AC73-EEE80FFABA5F}">
          <cx:tx>
            <cx:txData>
              <cx:f>_xlchart.v1.1</cx:f>
              <cx:v>Billable Hours 2021</cx:v>
            </cx:txData>
          </cx:tx>
          <cx:spPr>
            <a:gradFill>
              <a:gsLst>
                <a:gs pos="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Id val="0"/>
          <cx:layoutPr>
            <cx:visibility meanLine="0" meanMarker="1" nonoutliers="1"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72DE7AA-D187-F941-8394-4DC7647F2441}">
  <sheetPr/>
  <sheetViews>
    <sheetView zoomScale="130"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46EBC66-2BC9-2949-8459-417D3D9FFF25}">
  <sheetPr>
    <tabColor rgb="FF945200"/>
  </sheetPr>
  <sheetViews>
    <sheetView zoomScale="130"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08A60F-F055-8241-AC28-A0F04E8C29C0}">
  <sheetPr>
    <tabColor rgb="FF00B0F0"/>
  </sheetPr>
  <sheetViews>
    <sheetView tabSelected="1" zoomScale="13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D3BB8D72-C4D7-C080-AB2C-99CDB79A4B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DECE51E2-67C1-1C14-27A5-81A91A24E9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3</xdr:col>
      <xdr:colOff>10160</xdr:colOff>
      <xdr:row>0</xdr:row>
      <xdr:rowOff>0</xdr:rowOff>
    </xdr:from>
    <xdr:to>
      <xdr:col>3</xdr:col>
      <xdr:colOff>3850640</xdr:colOff>
      <xdr:row>15</xdr:row>
      <xdr:rowOff>10160</xdr:rowOff>
    </xdr:to>
    <xdr:graphicFrame macro="">
      <xdr:nvGraphicFramePr>
        <xdr:cNvPr id="2" name="Chart 1">
          <a:extLst>
            <a:ext uri="{FF2B5EF4-FFF2-40B4-BE49-F238E27FC236}">
              <a16:creationId xmlns:a16="http://schemas.microsoft.com/office/drawing/2014/main" id="{6E275CD9-47A5-5D4B-BC00-2FAB5FABD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0</xdr:row>
      <xdr:rowOff>0</xdr:rowOff>
    </xdr:from>
    <xdr:to>
      <xdr:col>4</xdr:col>
      <xdr:colOff>1428750</xdr:colOff>
      <xdr:row>14</xdr:row>
      <xdr:rowOff>190499</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AC9C5761-A6E6-708C-C3EC-A391712E97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620250" y="0"/>
              <a:ext cx="1428750" cy="2868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10584</xdr:colOff>
      <xdr:row>5</xdr:row>
      <xdr:rowOff>133351</xdr:rowOff>
    </xdr:from>
    <xdr:to>
      <xdr:col>5</xdr:col>
      <xdr:colOff>42334</xdr:colOff>
      <xdr:row>15</xdr:row>
      <xdr:rowOff>21166</xdr:rowOff>
    </xdr:to>
    <mc:AlternateContent xmlns:mc="http://schemas.openxmlformats.org/markup-compatibility/2006">
      <mc:Choice xmlns:a14="http://schemas.microsoft.com/office/drawing/2010/main" Requires="a14">
        <xdr:graphicFrame macro="">
          <xdr:nvGraphicFramePr>
            <xdr:cNvPr id="4" name="Employee Experience">
              <a:extLst>
                <a:ext uri="{FF2B5EF4-FFF2-40B4-BE49-F238E27FC236}">
                  <a16:creationId xmlns:a16="http://schemas.microsoft.com/office/drawing/2014/main" id="{1CB81067-97B7-5B88-94F9-155247004E95}"/>
                </a:ext>
              </a:extLst>
            </xdr:cNvPr>
            <xdr:cNvGraphicFramePr/>
          </xdr:nvGraphicFramePr>
          <xdr:xfrm>
            <a:off x="0" y="0"/>
            <a:ext cx="0" cy="0"/>
          </xdr:xfrm>
          <a:graphic>
            <a:graphicData uri="http://schemas.microsoft.com/office/drawing/2010/slicer">
              <sle:slicer xmlns:sle="http://schemas.microsoft.com/office/drawing/2010/slicer" name="Employee Experience"/>
            </a:graphicData>
          </a:graphic>
        </xdr:graphicFrame>
      </mc:Choice>
      <mc:Fallback>
        <xdr:sp macro="" textlink="">
          <xdr:nvSpPr>
            <xdr:cNvPr id="0" name=""/>
            <xdr:cNvSpPr>
              <a:spLocks noTextEdit="1"/>
            </xdr:cNvSpPr>
          </xdr:nvSpPr>
          <xdr:spPr>
            <a:xfrm>
              <a:off x="9630834" y="1096434"/>
              <a:ext cx="1471083" cy="1792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xdr:colOff>
      <xdr:row>0</xdr:row>
      <xdr:rowOff>0</xdr:rowOff>
    </xdr:from>
    <xdr:to>
      <xdr:col>6</xdr:col>
      <xdr:colOff>0</xdr:colOff>
      <xdr:row>15</xdr:row>
      <xdr:rowOff>0</xdr:rowOff>
    </xdr:to>
    <mc:AlternateContent xmlns:mc="http://schemas.openxmlformats.org/markup-compatibility/2006">
      <mc:Choice xmlns:a14="http://schemas.microsoft.com/office/drawing/2010/main" Requires="a14">
        <xdr:graphicFrame macro="">
          <xdr:nvGraphicFramePr>
            <xdr:cNvPr id="5" name="Accounting Type">
              <a:extLst>
                <a:ext uri="{FF2B5EF4-FFF2-40B4-BE49-F238E27FC236}">
                  <a16:creationId xmlns:a16="http://schemas.microsoft.com/office/drawing/2014/main" id="{8030F684-D9FC-013B-BECA-7C122145E1F7}"/>
                </a:ext>
              </a:extLst>
            </xdr:cNvPr>
            <xdr:cNvGraphicFramePr/>
          </xdr:nvGraphicFramePr>
          <xdr:xfrm>
            <a:off x="0" y="0"/>
            <a:ext cx="0" cy="0"/>
          </xdr:xfrm>
          <a:graphic>
            <a:graphicData uri="http://schemas.microsoft.com/office/drawing/2010/slicer">
              <sle:slicer xmlns:sle="http://schemas.microsoft.com/office/drawing/2010/slicer" name="Accounting Type"/>
            </a:graphicData>
          </a:graphic>
        </xdr:graphicFrame>
      </mc:Choice>
      <mc:Fallback>
        <xdr:sp macro="" textlink="">
          <xdr:nvSpPr>
            <xdr:cNvPr id="0" name=""/>
            <xdr:cNvSpPr>
              <a:spLocks noTextEdit="1"/>
            </xdr:cNvSpPr>
          </xdr:nvSpPr>
          <xdr:spPr>
            <a:xfrm>
              <a:off x="11072283" y="0"/>
              <a:ext cx="1500717" cy="2868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10160</xdr:colOff>
      <xdr:row>0</xdr:row>
      <xdr:rowOff>0</xdr:rowOff>
    </xdr:from>
    <xdr:to>
      <xdr:col>3</xdr:col>
      <xdr:colOff>3850640</xdr:colOff>
      <xdr:row>15</xdr:row>
      <xdr:rowOff>10160</xdr:rowOff>
    </xdr:to>
    <xdr:graphicFrame macro="">
      <xdr:nvGraphicFramePr>
        <xdr:cNvPr id="2" name="Chart 1">
          <a:extLst>
            <a:ext uri="{FF2B5EF4-FFF2-40B4-BE49-F238E27FC236}">
              <a16:creationId xmlns:a16="http://schemas.microsoft.com/office/drawing/2014/main" id="{647269DE-5F7B-7C81-FDE1-92E5F1EBA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8675077" cy="6291385"/>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B810684-9867-056D-253D-BA300B100DF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6E281493-3829-000E-5EDD-038015AA19EA}"/>
            </a:ext>
          </a:extLst>
        </cdr:cNvPr>
        <cdr:cNvSpPr>
          <a:spLocks xmlns:a="http://schemas.openxmlformats.org/drawingml/2006/main" noTextEdit="1"/>
        </cdr:cNvSpPr>
      </cdr:nvSpPr>
      <cdr:spPr>
        <a:xfrm xmlns:a="http://schemas.openxmlformats.org/drawingml/2006/main">
          <a:off x="0" y="0"/>
          <a:ext cx="8675077" cy="6291385"/>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Korman" refreshedDate="45734.87814872685" createdVersion="8" refreshedVersion="8" minRefreshableVersion="3" recordCount="30" xr:uid="{EED8B85E-A564-F441-B692-7B9D7A8053C9}">
  <cacheSource type="worksheet">
    <worksheetSource ref="A2:G32" sheet="Analysis Figures"/>
  </cacheSource>
  <cacheFields count="9">
    <cacheField name="City" numFmtId="0">
      <sharedItems count="2">
        <s v="Durante"/>
        <s v="Jamison"/>
      </sharedItems>
    </cacheField>
    <cacheField name="Employee Experience" numFmtId="0">
      <sharedItems count="3">
        <s v="0 to 5 Years"/>
        <s v="6 to 10 Years"/>
        <s v="More than 10 Years"/>
      </sharedItems>
    </cacheField>
    <cacheField name="Accounting Type" numFmtId="0">
      <sharedItems count="5">
        <s v="General"/>
        <s v="Forensics"/>
        <s v="Investment"/>
        <s v="Taxes"/>
        <s v="Auditing"/>
      </sharedItems>
    </cacheField>
    <cacheField name="Billable Hours 2020" numFmtId="0">
      <sharedItems containsSemiMixedTypes="0" containsString="0" containsNumber="1" containsInteger="1" minValue="1167" maxValue="25989"/>
    </cacheField>
    <cacheField name="Billable Hours 2021" numFmtId="0">
      <sharedItems containsSemiMixedTypes="0" containsString="0" containsNumber="1" containsInteger="1" minValue="1261" maxValue="28094"/>
    </cacheField>
    <cacheField name="2020 Revenue" numFmtId="164">
      <sharedItems containsSemiMixedTypes="0" containsString="0" containsNumber="1" containsInteger="1" minValue="114697" maxValue="2029971"/>
    </cacheField>
    <cacheField name="2021 Revenue" numFmtId="164">
      <sharedItems containsSemiMixedTypes="0" containsString="0" containsNumber="1" containsInteger="1" minValue="124629" maxValue="2242240"/>
    </cacheField>
    <cacheField name="Average 2020 Billing Per Hour" numFmtId="0" formula="'2020 Revenue' /'Billable Hours 2020'" databaseField="0"/>
    <cacheField name="Average 2021 Billing Per Hour" numFmtId="0" formula="'2021 Revenue' /'Billable Hours 2021'" databaseField="0"/>
  </cacheFields>
  <extLst>
    <ext xmlns:x14="http://schemas.microsoft.com/office/spreadsheetml/2009/9/main" uri="{725AE2AE-9491-48be-B2B4-4EB974FC3084}">
      <x14:pivotCacheDefinition pivotCacheId="1601613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4650"/>
    <n v="5020"/>
    <n v="462891"/>
    <n v="502482"/>
  </r>
  <r>
    <x v="0"/>
    <x v="0"/>
    <x v="1"/>
    <n v="4788"/>
    <n v="5175"/>
    <n v="487179"/>
    <n v="529402"/>
  </r>
  <r>
    <x v="0"/>
    <x v="0"/>
    <x v="2"/>
    <n v="5061"/>
    <n v="5470"/>
    <n v="424464"/>
    <n v="461775"/>
  </r>
  <r>
    <x v="0"/>
    <x v="0"/>
    <x v="3"/>
    <n v="8177"/>
    <n v="8920"/>
    <n v="857550"/>
    <n v="940532"/>
  </r>
  <r>
    <x v="0"/>
    <x v="0"/>
    <x v="4"/>
    <n v="3477"/>
    <n v="3758"/>
    <n v="389183"/>
    <n v="422702"/>
  </r>
  <r>
    <x v="0"/>
    <x v="1"/>
    <x v="0"/>
    <n v="5610"/>
    <n v="6064"/>
    <n v="507329"/>
    <n v="551721"/>
  </r>
  <r>
    <x v="0"/>
    <x v="1"/>
    <x v="1"/>
    <n v="3243"/>
    <n v="3505"/>
    <n v="398080"/>
    <n v="432168"/>
  </r>
  <r>
    <x v="0"/>
    <x v="1"/>
    <x v="2"/>
    <n v="4536"/>
    <n v="4903"/>
    <n v="583512"/>
    <n v="633419"/>
  </r>
  <r>
    <x v="0"/>
    <x v="1"/>
    <x v="3"/>
    <n v="12459"/>
    <n v="13468"/>
    <n v="882856"/>
    <n v="977959"/>
  </r>
  <r>
    <x v="0"/>
    <x v="1"/>
    <x v="4"/>
    <n v="1992"/>
    <n v="2153"/>
    <n v="182687"/>
    <n v="198637"/>
  </r>
  <r>
    <x v="0"/>
    <x v="2"/>
    <x v="0"/>
    <n v="14350"/>
    <n v="15512"/>
    <n v="1578500"/>
    <n v="1714851"/>
  </r>
  <r>
    <x v="0"/>
    <x v="2"/>
    <x v="1"/>
    <n v="3843"/>
    <n v="4154"/>
    <n v="350261"/>
    <n v="380892"/>
  </r>
  <r>
    <x v="0"/>
    <x v="2"/>
    <x v="2"/>
    <n v="8946"/>
    <n v="9225"/>
    <n v="1032775"/>
    <n v="1077757"/>
  </r>
  <r>
    <x v="0"/>
    <x v="2"/>
    <x v="3"/>
    <n v="25989"/>
    <n v="28094"/>
    <n v="2029971"/>
    <n v="2242240"/>
  </r>
  <r>
    <x v="0"/>
    <x v="2"/>
    <x v="4"/>
    <n v="4272"/>
    <n v="4618"/>
    <n v="398363"/>
    <n v="433167"/>
  </r>
  <r>
    <x v="1"/>
    <x v="0"/>
    <x v="0"/>
    <n v="3305"/>
    <n v="3410"/>
    <n v="244556"/>
    <n v="241453"/>
  </r>
  <r>
    <x v="1"/>
    <x v="0"/>
    <x v="1"/>
    <n v="1308"/>
    <n v="1413"/>
    <n v="167939"/>
    <n v="182197"/>
  </r>
  <r>
    <x v="1"/>
    <x v="0"/>
    <x v="2"/>
    <n v="1491"/>
    <n v="1611"/>
    <n v="144216"/>
    <n v="156709"/>
  </r>
  <r>
    <x v="1"/>
    <x v="0"/>
    <x v="3"/>
    <n v="5724"/>
    <n v="6187"/>
    <n v="677682"/>
    <n v="735901"/>
  </r>
  <r>
    <x v="1"/>
    <x v="0"/>
    <x v="4"/>
    <n v="1167"/>
    <n v="1261"/>
    <n v="114697"/>
    <n v="124629"/>
  </r>
  <r>
    <x v="1"/>
    <x v="1"/>
    <x v="0"/>
    <n v="3900"/>
    <n v="4215"/>
    <n v="399553"/>
    <n v="434143"/>
  </r>
  <r>
    <x v="1"/>
    <x v="1"/>
    <x v="1"/>
    <n v="3783"/>
    <n v="4089"/>
    <n v="443613"/>
    <n v="481745"/>
  </r>
  <r>
    <x v="1"/>
    <x v="1"/>
    <x v="2"/>
    <n v="4206"/>
    <n v="4546"/>
    <n v="508607"/>
    <n v="552222"/>
  </r>
  <r>
    <x v="1"/>
    <x v="1"/>
    <x v="3"/>
    <n v="4629"/>
    <n v="5003"/>
    <n v="549553"/>
    <n v="596706"/>
  </r>
  <r>
    <x v="1"/>
    <x v="1"/>
    <x v="4"/>
    <n v="4152"/>
    <n v="4488"/>
    <n v="468761"/>
    <n v="509164"/>
  </r>
  <r>
    <x v="1"/>
    <x v="2"/>
    <x v="0"/>
    <n v="4095"/>
    <n v="4426"/>
    <n v="635884"/>
    <n v="681634"/>
  </r>
  <r>
    <x v="1"/>
    <x v="2"/>
    <x v="1"/>
    <n v="4098"/>
    <n v="4429"/>
    <n v="360624"/>
    <n v="392187"/>
  </r>
  <r>
    <x v="1"/>
    <x v="2"/>
    <x v="2"/>
    <n v="3951"/>
    <n v="4271"/>
    <n v="441589"/>
    <n v="479704"/>
  </r>
  <r>
    <x v="1"/>
    <x v="2"/>
    <x v="3"/>
    <n v="5574"/>
    <n v="6025"/>
    <n v="770335"/>
    <n v="827886"/>
  </r>
  <r>
    <x v="1"/>
    <x v="2"/>
    <x v="4"/>
    <n v="3357"/>
    <n v="3628"/>
    <n v="304647"/>
    <n v="331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CD094F-70D3-4D43-92F9-55792A5495BD}" name="PivotTable2" cacheId="6" applyNumberFormats="0" applyBorderFormats="0" applyFontFormats="0" applyPatternFormats="0" applyAlignmentFormats="0" applyWidthHeightFormats="1" dataCaption="Values" updatedVersion="8" minRefreshableVersion="3" showDrill="0" itemPrintTitles="1" createdVersion="8" indent="0" showHeaders="0" compact="0" compactData="0" multipleFieldFilters="0" chartFormat="8">
  <location ref="A6:D19" firstHeaderRow="0" firstDataRow="1" firstDataCol="2"/>
  <pivotFields count="9">
    <pivotField axis="axisRow" compact="0" outline="0" multipleItemSelectionAllowed="1" showAll="0">
      <items count="3">
        <item x="0"/>
        <item x="1"/>
        <item t="default"/>
      </items>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axis="axisRow" compact="0" outline="0" showAll="0">
      <items count="6">
        <item x="4"/>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13">
    <i>
      <x/>
      <x/>
    </i>
    <i r="1">
      <x v="1"/>
    </i>
    <i r="1">
      <x v="2"/>
    </i>
    <i r="1">
      <x v="3"/>
    </i>
    <i r="1">
      <x v="4"/>
    </i>
    <i t="default">
      <x/>
    </i>
    <i>
      <x v="1"/>
      <x/>
    </i>
    <i r="1">
      <x v="1"/>
    </i>
    <i r="1">
      <x v="2"/>
    </i>
    <i r="1">
      <x v="3"/>
    </i>
    <i r="1">
      <x v="4"/>
    </i>
    <i t="default">
      <x v="1"/>
    </i>
    <i t="grand">
      <x/>
    </i>
  </rowItems>
  <colFields count="1">
    <field x="-2"/>
  </colFields>
  <colItems count="2">
    <i>
      <x/>
    </i>
    <i i="1">
      <x v="1"/>
    </i>
  </colItems>
  <dataFields count="2">
    <dataField name="2020 Total Revenue" fld="5" baseField="0" baseItem="0" numFmtId="164"/>
    <dataField name="2021 Total Revenue" fld="6"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6DB41-6C36-7C4B-AFAD-1CDC2B5CE82A}" name="PivotTable1" cacheId="6"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chartFormat="6">
  <location ref="A3:C12" firstHeaderRow="0" firstDataRow="1" firstDataCol="1"/>
  <pivotFields count="9">
    <pivotField axis="axisRow" showAll="0">
      <items count="3">
        <item x="0"/>
        <item x="1"/>
        <item t="default"/>
      </items>
    </pivotField>
    <pivotField axis="axisRow" showAll="0">
      <items count="4">
        <item x="0"/>
        <item x="1"/>
        <item x="2"/>
        <item t="default"/>
      </items>
    </pivotField>
    <pivotField showAll="0">
      <items count="6">
        <item h="1" x="4"/>
        <item h="1" x="1"/>
        <item h="1" x="0"/>
        <item x="2"/>
        <item x="3"/>
        <item t="default"/>
      </items>
    </pivotField>
    <pivotField showAll="0"/>
    <pivotField showAll="0"/>
    <pivotField numFmtId="164" showAll="0"/>
    <pivotField numFmtId="164" showAll="0"/>
    <pivotField dataField="1" dragToRow="0" dragToCol="0" dragToPage="0" showAll="0" defaultSubtotal="0"/>
    <pivotField dataField="1" dragToRow="0" dragToCol="0" dragToPage="0" showAll="0" defaultSubtotal="0"/>
  </pivotFields>
  <rowFields count="2">
    <field x="0"/>
    <field x="1"/>
  </rowFields>
  <rowItems count="9">
    <i>
      <x/>
    </i>
    <i r="1">
      <x/>
    </i>
    <i r="1">
      <x v="1"/>
    </i>
    <i r="1">
      <x v="2"/>
    </i>
    <i>
      <x v="1"/>
    </i>
    <i r="1">
      <x/>
    </i>
    <i r="1">
      <x v="1"/>
    </i>
    <i r="1">
      <x v="2"/>
    </i>
    <i t="grand">
      <x/>
    </i>
  </rowItems>
  <colFields count="1">
    <field x="-2"/>
  </colFields>
  <colItems count="2">
    <i>
      <x/>
    </i>
    <i i="1">
      <x v="1"/>
    </i>
  </colItems>
  <dataFields count="2">
    <dataField name="Sum of Average 2020 Billing Per Hour" fld="7" baseField="0" baseItem="0" numFmtId="164"/>
    <dataField name="Sum of Average 2021 Billing Per Hour" fld="8" baseField="0" baseItem="0" numFmtId="164"/>
  </dataFields>
  <formats count="16">
    <format dxfId="0">
      <pivotArea collapsedLevelsAreSubtotals="1" fieldPosition="0">
        <references count="2">
          <reference field="4294967294" count="2" selected="0">
            <x v="0"/>
            <x v="1"/>
          </reference>
          <reference field="0" count="1">
            <x v="0"/>
          </reference>
        </references>
      </pivotArea>
    </format>
    <format dxfId="1">
      <pivotArea collapsedLevelsAreSubtotals="1" fieldPosition="0">
        <references count="3">
          <reference field="4294967294" count="2" selected="0">
            <x v="0"/>
            <x v="1"/>
          </reference>
          <reference field="0" count="1" selected="0">
            <x v="0"/>
          </reference>
          <reference field="1" count="0"/>
        </references>
      </pivotArea>
    </format>
    <format dxfId="2">
      <pivotArea collapsedLevelsAreSubtotals="1" fieldPosition="0">
        <references count="2">
          <reference field="4294967294" count="2" selected="0">
            <x v="0"/>
            <x v="1"/>
          </reference>
          <reference field="0" count="1">
            <x v="1"/>
          </reference>
        </references>
      </pivotArea>
    </format>
    <format dxfId="3">
      <pivotArea collapsedLevelsAreSubtotals="1" fieldPosition="0">
        <references count="3">
          <reference field="4294967294" count="2" selected="0">
            <x v="0"/>
            <x v="1"/>
          </reference>
          <reference field="0" count="1" selected="0">
            <x v="1"/>
          </reference>
          <reference field="1" count="0"/>
        </references>
      </pivotArea>
    </format>
    <format dxfId="4">
      <pivotArea collapsedLevelsAreSubtotals="1" fieldPosition="0">
        <references count="2">
          <reference field="4294967294" count="1" selected="0">
            <x v="0"/>
          </reference>
          <reference field="0" count="1">
            <x v="0"/>
          </reference>
        </references>
      </pivotArea>
    </format>
    <format dxfId="5">
      <pivotArea collapsedLevelsAreSubtotals="1" fieldPosition="0">
        <references count="3">
          <reference field="4294967294" count="1" selected="0">
            <x v="0"/>
          </reference>
          <reference field="0" count="1" selected="0">
            <x v="0"/>
          </reference>
          <reference field="1" count="0"/>
        </references>
      </pivotArea>
    </format>
    <format dxfId="6">
      <pivotArea collapsedLevelsAreSubtotals="1" fieldPosition="0">
        <references count="2">
          <reference field="4294967294" count="1" selected="0">
            <x v="0"/>
          </reference>
          <reference field="0" count="1">
            <x v="1"/>
          </reference>
        </references>
      </pivotArea>
    </format>
    <format dxfId="7">
      <pivotArea collapsedLevelsAreSubtotals="1" fieldPosition="0">
        <references count="3">
          <reference field="4294967294" count="1" selected="0">
            <x v="0"/>
          </reference>
          <reference field="0" count="1" selected="0">
            <x v="1"/>
          </reference>
          <reference field="1" count="0"/>
        </references>
      </pivotArea>
    </format>
    <format dxfId="8">
      <pivotArea collapsedLevelsAreSubtotals="1" fieldPosition="0">
        <references count="2">
          <reference field="4294967294" count="1" selected="0">
            <x v="1"/>
          </reference>
          <reference field="0" count="1">
            <x v="0"/>
          </reference>
        </references>
      </pivotArea>
    </format>
    <format dxfId="9">
      <pivotArea collapsedLevelsAreSubtotals="1" fieldPosition="0">
        <references count="3">
          <reference field="4294967294" count="1" selected="0">
            <x v="1"/>
          </reference>
          <reference field="0" count="1" selected="0">
            <x v="0"/>
          </reference>
          <reference field="1" count="0"/>
        </references>
      </pivotArea>
    </format>
    <format dxfId="10">
      <pivotArea collapsedLevelsAreSubtotals="1" fieldPosition="0">
        <references count="2">
          <reference field="4294967294" count="1" selected="0">
            <x v="1"/>
          </reference>
          <reference field="0" count="1">
            <x v="1"/>
          </reference>
        </references>
      </pivotArea>
    </format>
    <format dxfId="11">
      <pivotArea collapsedLevelsAreSubtotals="1" fieldPosition="0">
        <references count="3">
          <reference field="4294967294" count="1" selected="0">
            <x v="1"/>
          </reference>
          <reference field="0" count="1" selected="0">
            <x v="1"/>
          </reference>
          <reference field="1" count="0"/>
        </references>
      </pivotArea>
    </format>
    <format dxfId="12">
      <pivotArea dataOnly="0" labelOnly="1" outline="0" fieldPosition="0">
        <references count="1">
          <reference field="4294967294" count="1">
            <x v="0"/>
          </reference>
        </references>
      </pivotArea>
    </format>
    <format dxfId="13">
      <pivotArea dataOnly="0" labelOnly="1" outline="0" fieldPosition="0">
        <references count="1">
          <reference field="4294967294" count="1">
            <x v="0"/>
          </reference>
        </references>
      </pivotArea>
    </format>
    <format dxfId="14">
      <pivotArea dataOnly="0" labelOnly="1" outline="0" fieldPosition="0">
        <references count="1">
          <reference field="4294967294" count="1">
            <x v="1"/>
          </reference>
        </references>
      </pivotArea>
    </format>
    <format dxfId="15">
      <pivotArea dataOnly="0" labelOnly="1" outline="0" fieldPosition="0">
        <references count="1">
          <reference field="4294967294" count="1">
            <x v="1"/>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38BD2-F4E4-8041-9377-7AD3F270A325}" name="PivotTable1" cacheId="6"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chartFormat="5">
  <location ref="A3:C12" firstHeaderRow="0" firstDataRow="1" firstDataCol="1"/>
  <pivotFields count="9">
    <pivotField axis="axisRow" showAll="0">
      <items count="3">
        <item x="0"/>
        <item x="1"/>
        <item t="default"/>
      </items>
    </pivotField>
    <pivotField axis="axisRow" showAll="0">
      <items count="4">
        <item x="0"/>
        <item x="1"/>
        <item x="2"/>
        <item t="default"/>
      </items>
    </pivotField>
    <pivotField showAll="0"/>
    <pivotField showAll="0"/>
    <pivotField showAll="0"/>
    <pivotField numFmtId="164" showAll="0"/>
    <pivotField numFmtId="164" showAll="0"/>
    <pivotField dataField="1" dragToRow="0" dragToCol="0" dragToPage="0" showAll="0" defaultSubtotal="0"/>
    <pivotField dataField="1" dragToRow="0" dragToCol="0" dragToPage="0" showAll="0" defaultSubtotal="0"/>
  </pivotFields>
  <rowFields count="2">
    <field x="0"/>
    <field x="1"/>
  </rowFields>
  <rowItems count="9">
    <i>
      <x/>
    </i>
    <i r="1">
      <x/>
    </i>
    <i r="1">
      <x v="1"/>
    </i>
    <i r="1">
      <x v="2"/>
    </i>
    <i>
      <x v="1"/>
    </i>
    <i r="1">
      <x/>
    </i>
    <i r="1">
      <x v="1"/>
    </i>
    <i r="1">
      <x v="2"/>
    </i>
    <i t="grand">
      <x/>
    </i>
  </rowItems>
  <colFields count="1">
    <field x="-2"/>
  </colFields>
  <colItems count="2">
    <i>
      <x/>
    </i>
    <i i="1">
      <x v="1"/>
    </i>
  </colItems>
  <dataFields count="2">
    <dataField name="Sum of Average 2020 Billing Per Hour" fld="7" baseField="0" baseItem="0" numFmtId="164"/>
    <dataField name="Sum of Average 2021 Billing Per Hour" fld="8" baseField="0" baseItem="0" numFmtId="164"/>
  </dataFields>
  <formats count="16">
    <format dxfId="31">
      <pivotArea collapsedLevelsAreSubtotals="1" fieldPosition="0">
        <references count="2">
          <reference field="4294967294" count="2" selected="0">
            <x v="0"/>
            <x v="1"/>
          </reference>
          <reference field="0" count="1">
            <x v="0"/>
          </reference>
        </references>
      </pivotArea>
    </format>
    <format dxfId="30">
      <pivotArea collapsedLevelsAreSubtotals="1" fieldPosition="0">
        <references count="3">
          <reference field="4294967294" count="2" selected="0">
            <x v="0"/>
            <x v="1"/>
          </reference>
          <reference field="0" count="1" selected="0">
            <x v="0"/>
          </reference>
          <reference field="1" count="0"/>
        </references>
      </pivotArea>
    </format>
    <format dxfId="29">
      <pivotArea collapsedLevelsAreSubtotals="1" fieldPosition="0">
        <references count="2">
          <reference field="4294967294" count="2" selected="0">
            <x v="0"/>
            <x v="1"/>
          </reference>
          <reference field="0" count="1">
            <x v="1"/>
          </reference>
        </references>
      </pivotArea>
    </format>
    <format dxfId="28">
      <pivotArea collapsedLevelsAreSubtotals="1" fieldPosition="0">
        <references count="3">
          <reference field="4294967294" count="2" selected="0">
            <x v="0"/>
            <x v="1"/>
          </reference>
          <reference field="0" count="1" selected="0">
            <x v="1"/>
          </reference>
          <reference field="1" count="0"/>
        </references>
      </pivotArea>
    </format>
    <format dxfId="27">
      <pivotArea collapsedLevelsAreSubtotals="1" fieldPosition="0">
        <references count="2">
          <reference field="4294967294" count="1" selected="0">
            <x v="0"/>
          </reference>
          <reference field="0" count="1">
            <x v="0"/>
          </reference>
        </references>
      </pivotArea>
    </format>
    <format dxfId="26">
      <pivotArea collapsedLevelsAreSubtotals="1" fieldPosition="0">
        <references count="3">
          <reference field="4294967294" count="1" selected="0">
            <x v="0"/>
          </reference>
          <reference field="0" count="1" selected="0">
            <x v="0"/>
          </reference>
          <reference field="1" count="0"/>
        </references>
      </pivotArea>
    </format>
    <format dxfId="25">
      <pivotArea collapsedLevelsAreSubtotals="1" fieldPosition="0">
        <references count="2">
          <reference field="4294967294" count="1" selected="0">
            <x v="0"/>
          </reference>
          <reference field="0" count="1">
            <x v="1"/>
          </reference>
        </references>
      </pivotArea>
    </format>
    <format dxfId="24">
      <pivotArea collapsedLevelsAreSubtotals="1" fieldPosition="0">
        <references count="3">
          <reference field="4294967294" count="1" selected="0">
            <x v="0"/>
          </reference>
          <reference field="0" count="1" selected="0">
            <x v="1"/>
          </reference>
          <reference field="1" count="0"/>
        </references>
      </pivotArea>
    </format>
    <format dxfId="23">
      <pivotArea collapsedLevelsAreSubtotals="1" fieldPosition="0">
        <references count="2">
          <reference field="4294967294" count="1" selected="0">
            <x v="1"/>
          </reference>
          <reference field="0" count="1">
            <x v="0"/>
          </reference>
        </references>
      </pivotArea>
    </format>
    <format dxfId="22">
      <pivotArea collapsedLevelsAreSubtotals="1" fieldPosition="0">
        <references count="3">
          <reference field="4294967294" count="1" selected="0">
            <x v="1"/>
          </reference>
          <reference field="0" count="1" selected="0">
            <x v="0"/>
          </reference>
          <reference field="1" count="0"/>
        </references>
      </pivotArea>
    </format>
    <format dxfId="21">
      <pivotArea collapsedLevelsAreSubtotals="1" fieldPosition="0">
        <references count="2">
          <reference field="4294967294" count="1" selected="0">
            <x v="1"/>
          </reference>
          <reference field="0" count="1">
            <x v="1"/>
          </reference>
        </references>
      </pivotArea>
    </format>
    <format dxfId="20">
      <pivotArea collapsedLevelsAreSubtotals="1" fieldPosition="0">
        <references count="3">
          <reference field="4294967294" count="1" selected="0">
            <x v="1"/>
          </reference>
          <reference field="0" count="1" selected="0">
            <x v="1"/>
          </reference>
          <reference field="1" count="0"/>
        </references>
      </pivotArea>
    </format>
    <format dxfId="19">
      <pivotArea dataOnly="0" labelOnly="1" outline="0" fieldPosition="0">
        <references count="1">
          <reference field="4294967294" count="1">
            <x v="0"/>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1"/>
          </reference>
        </references>
      </pivotArea>
    </format>
    <format dxfId="16">
      <pivotArea dataOnly="0" labelOnly="1" outline="0" fieldPosition="0">
        <references count="1">
          <reference field="4294967294" count="1">
            <x v="1"/>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C99846B-8101-2B42-B1E9-1420D8B47936}" sourceName="City">
  <pivotTables>
    <pivotTable tabId="28" name="PivotTable1"/>
  </pivotTables>
  <data>
    <tabular pivotCacheId="16016136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Experience" xr10:uid="{8805A155-BAE7-CF4D-B6D1-0BDE36593486}" sourceName="Employee Experience">
  <pivotTables>
    <pivotTable tabId="28" name="PivotTable1"/>
  </pivotTables>
  <data>
    <tabular pivotCacheId="16016136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ing_Type" xr10:uid="{62CE2788-61CB-504A-BC18-43B99E498679}" sourceName="Accounting Type">
  <pivotTables>
    <pivotTable tabId="28" name="PivotTable1"/>
  </pivotTables>
  <data>
    <tabular pivotCacheId="1601613649">
      <items count="5">
        <i x="4"/>
        <i x="1"/>
        <i x="0"/>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C09E00D-433A-2C47-83AB-BB8D698D9FCA}" cache="Slicer_City" caption="City" style="SlicerStyleLight4" rowHeight="365760"/>
  <slicer name="Employee Experience" xr10:uid="{8692034B-6179-1E4E-ADF6-AF046EADB78B}" cache="Slicer_Employee_Experience" caption="Employee Experience" style="SlicerStyleLight4" rowHeight="365760"/>
  <slicer name="Accounting Type" xr10:uid="{987BFCD4-3C64-5E41-9A3A-E7F6289A493B}" cache="Slicer_Accounting_Type" caption="Accounting Type" style="SlicerStyleLight4" rowHeight="365760"/>
  <slicer name="Accounting Type 1" xr10:uid="{E5240A36-608D-B045-88A0-D76D9E468DB1}" cache="Slicer_Accounting_Type" caption="Accounting 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G5"/>
  <sheetViews>
    <sheetView zoomScale="120" zoomScaleNormal="120" workbookViewId="0">
      <selection activeCell="A9" sqref="A9"/>
    </sheetView>
  </sheetViews>
  <sheetFormatPr baseColWidth="10" defaultColWidth="9.1640625" defaultRowHeight="16" x14ac:dyDescent="0.2"/>
  <cols>
    <col min="1" max="1" width="23.33203125" style="2" bestFit="1" customWidth="1"/>
    <col min="2" max="7" width="11.6640625" style="2" customWidth="1"/>
    <col min="8" max="16384" width="9.1640625" style="2"/>
  </cols>
  <sheetData>
    <row r="1" spans="1:7" ht="20" x14ac:dyDescent="0.25">
      <c r="A1" s="13" t="s">
        <v>3</v>
      </c>
      <c r="B1" s="13"/>
      <c r="C1" s="13"/>
      <c r="D1" s="13"/>
      <c r="E1" s="13"/>
      <c r="F1" s="13"/>
      <c r="G1" s="13"/>
    </row>
    <row r="2" spans="1:7" ht="21" thickBot="1" x14ac:dyDescent="0.3">
      <c r="A2" s="14" t="s">
        <v>1</v>
      </c>
      <c r="B2" s="14"/>
      <c r="C2" s="14"/>
      <c r="D2" s="14"/>
      <c r="E2" s="14"/>
      <c r="F2" s="14"/>
      <c r="G2" s="14"/>
    </row>
    <row r="3" spans="1:7" ht="17" thickTop="1" x14ac:dyDescent="0.2">
      <c r="A3" s="3"/>
      <c r="B3" s="3"/>
      <c r="C3" s="3"/>
      <c r="D3" s="3"/>
      <c r="E3" s="3"/>
      <c r="F3" s="3"/>
      <c r="G3" s="3"/>
    </row>
    <row r="4" spans="1:7" x14ac:dyDescent="0.2">
      <c r="A4" s="3"/>
      <c r="B4" s="4">
        <v>2016</v>
      </c>
      <c r="C4" s="4">
        <v>2017</v>
      </c>
      <c r="D4" s="4">
        <v>2018</v>
      </c>
      <c r="E4" s="4">
        <v>2019</v>
      </c>
      <c r="F4" s="4">
        <v>2020</v>
      </c>
      <c r="G4" s="4">
        <v>2021</v>
      </c>
    </row>
    <row r="5" spans="1:7" x14ac:dyDescent="0.2">
      <c r="A5" s="3" t="s">
        <v>2</v>
      </c>
      <c r="B5" s="9">
        <v>110092</v>
      </c>
      <c r="C5" s="9">
        <v>103254</v>
      </c>
      <c r="D5" s="9">
        <v>148016</v>
      </c>
      <c r="E5" s="9">
        <v>157789</v>
      </c>
      <c r="F5" s="5">
        <f>SUM('Analysis Figures'!D3:D32)</f>
        <v>166133</v>
      </c>
      <c r="G5" s="5">
        <f>SUM('Analysis Figures'!E3:E32)</f>
        <v>179041</v>
      </c>
    </row>
  </sheetData>
  <mergeCells count="2">
    <mergeCell ref="A1:G1"/>
    <mergeCell ref="A2:G2"/>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37F9-55E0-A646-9F0A-7F6C78F42846}">
  <sheetPr>
    <tabColor theme="7"/>
  </sheetPr>
  <dimension ref="A1:F19"/>
  <sheetViews>
    <sheetView zoomScale="101" workbookViewId="0">
      <selection activeCell="H34" sqref="H34"/>
    </sheetView>
  </sheetViews>
  <sheetFormatPr baseColWidth="10" defaultRowHeight="15" x14ac:dyDescent="0.2"/>
  <cols>
    <col min="1" max="1" width="20.5" bestFit="1" customWidth="1"/>
    <col min="2" max="2" width="9.6640625" bestFit="1" customWidth="1"/>
    <col min="3" max="4" width="16.6640625" bestFit="1" customWidth="1"/>
    <col min="5" max="6" width="19.1640625" bestFit="1" customWidth="1"/>
  </cols>
  <sheetData>
    <row r="1" spans="1:6" ht="24" x14ac:dyDescent="0.3">
      <c r="A1" s="15" t="s">
        <v>24</v>
      </c>
      <c r="B1" s="15"/>
      <c r="C1" s="15"/>
      <c r="D1" s="15"/>
      <c r="E1" s="15"/>
      <c r="F1" s="15"/>
    </row>
    <row r="2" spans="1:6" x14ac:dyDescent="0.2">
      <c r="A2" s="16" t="s">
        <v>25</v>
      </c>
      <c r="B2" s="16"/>
      <c r="C2" s="16"/>
      <c r="D2" s="16"/>
      <c r="E2" s="16"/>
      <c r="F2" s="16"/>
    </row>
    <row r="6" spans="1:6" x14ac:dyDescent="0.2">
      <c r="C6" t="s">
        <v>22</v>
      </c>
      <c r="D6" t="s">
        <v>23</v>
      </c>
    </row>
    <row r="7" spans="1:6" x14ac:dyDescent="0.2">
      <c r="A7" t="s">
        <v>11</v>
      </c>
      <c r="B7" t="s">
        <v>17</v>
      </c>
      <c r="C7" s="7">
        <v>970233</v>
      </c>
      <c r="D7" s="7">
        <v>1054506</v>
      </c>
    </row>
    <row r="8" spans="1:6" x14ac:dyDescent="0.2">
      <c r="A8" t="s">
        <v>11</v>
      </c>
      <c r="B8" t="s">
        <v>14</v>
      </c>
      <c r="C8" s="7">
        <v>1235520</v>
      </c>
      <c r="D8" s="7">
        <v>1342462</v>
      </c>
    </row>
    <row r="9" spans="1:6" x14ac:dyDescent="0.2">
      <c r="A9" t="s">
        <v>11</v>
      </c>
      <c r="B9" t="s">
        <v>13</v>
      </c>
      <c r="C9" s="7">
        <v>2548720</v>
      </c>
      <c r="D9" s="7">
        <v>2769054</v>
      </c>
    </row>
    <row r="10" spans="1:6" x14ac:dyDescent="0.2">
      <c r="A10" t="s">
        <v>11</v>
      </c>
      <c r="B10" t="s">
        <v>15</v>
      </c>
      <c r="C10" s="7">
        <v>2040751</v>
      </c>
      <c r="D10" s="7">
        <v>2172951</v>
      </c>
    </row>
    <row r="11" spans="1:6" x14ac:dyDescent="0.2">
      <c r="A11" t="s">
        <v>11</v>
      </c>
      <c r="B11" t="s">
        <v>16</v>
      </c>
      <c r="C11" s="7">
        <v>3770377</v>
      </c>
      <c r="D11" s="7">
        <v>4160731</v>
      </c>
    </row>
    <row r="12" spans="1:6" x14ac:dyDescent="0.2">
      <c r="A12" t="s">
        <v>26</v>
      </c>
      <c r="C12" s="7">
        <v>10565601</v>
      </c>
      <c r="D12" s="7">
        <v>11499704</v>
      </c>
    </row>
    <row r="13" spans="1:6" x14ac:dyDescent="0.2">
      <c r="A13" t="s">
        <v>20</v>
      </c>
      <c r="B13" t="s">
        <v>17</v>
      </c>
      <c r="C13" s="7">
        <v>888105</v>
      </c>
      <c r="D13" s="7">
        <v>965029</v>
      </c>
    </row>
    <row r="14" spans="1:6" x14ac:dyDescent="0.2">
      <c r="A14" t="s">
        <v>20</v>
      </c>
      <c r="B14" t="s">
        <v>14</v>
      </c>
      <c r="C14" s="7">
        <v>972176</v>
      </c>
      <c r="D14" s="7">
        <v>1056129</v>
      </c>
    </row>
    <row r="15" spans="1:6" x14ac:dyDescent="0.2">
      <c r="A15" t="s">
        <v>20</v>
      </c>
      <c r="B15" t="s">
        <v>13</v>
      </c>
      <c r="C15" s="7">
        <v>1279993</v>
      </c>
      <c r="D15" s="7">
        <v>1357230</v>
      </c>
    </row>
    <row r="16" spans="1:6" x14ac:dyDescent="0.2">
      <c r="A16" t="s">
        <v>20</v>
      </c>
      <c r="B16" t="s">
        <v>15</v>
      </c>
      <c r="C16" s="7">
        <v>1094412</v>
      </c>
      <c r="D16" s="7">
        <v>1188635</v>
      </c>
    </row>
    <row r="17" spans="1:4" x14ac:dyDescent="0.2">
      <c r="A17" t="s">
        <v>20</v>
      </c>
      <c r="B17" t="s">
        <v>16</v>
      </c>
      <c r="C17" s="7">
        <v>1997570</v>
      </c>
      <c r="D17" s="7">
        <v>2160493</v>
      </c>
    </row>
    <row r="18" spans="1:4" x14ac:dyDescent="0.2">
      <c r="A18" t="s">
        <v>27</v>
      </c>
      <c r="C18" s="7">
        <v>6232256</v>
      </c>
      <c r="D18" s="7">
        <v>6727516</v>
      </c>
    </row>
    <row r="19" spans="1:4" x14ac:dyDescent="0.2">
      <c r="A19" t="s">
        <v>21</v>
      </c>
      <c r="C19" s="7">
        <v>16797857</v>
      </c>
      <c r="D19" s="7">
        <v>18227220</v>
      </c>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0F85-7920-DF41-B0C9-D4B75B3665A1}">
  <sheetPr>
    <tabColor rgb="FF00B050"/>
  </sheetPr>
  <dimension ref="A1:C12"/>
  <sheetViews>
    <sheetView zoomScale="120" zoomScaleNormal="120" workbookViewId="0">
      <selection activeCell="E21" sqref="E21"/>
    </sheetView>
  </sheetViews>
  <sheetFormatPr baseColWidth="10" defaultRowHeight="15" x14ac:dyDescent="0.2"/>
  <cols>
    <col min="1" max="1" width="16.6640625" bestFit="1" customWidth="1"/>
    <col min="2" max="3" width="29.5" bestFit="1" customWidth="1"/>
    <col min="4" max="4" width="50.6640625" customWidth="1"/>
    <col min="5" max="5" width="18.83203125" customWidth="1"/>
    <col min="6" max="6" width="19.83203125" customWidth="1"/>
  </cols>
  <sheetData>
    <row r="1" spans="1:3" x14ac:dyDescent="0.2">
      <c r="A1" t="s">
        <v>30</v>
      </c>
    </row>
    <row r="2" spans="1:3" x14ac:dyDescent="0.2">
      <c r="A2" t="s">
        <v>31</v>
      </c>
    </row>
    <row r="3" spans="1:3" ht="16" x14ac:dyDescent="0.2">
      <c r="B3" s="21" t="s">
        <v>28</v>
      </c>
      <c r="C3" s="21" t="s">
        <v>29</v>
      </c>
    </row>
    <row r="4" spans="1:3" x14ac:dyDescent="0.2">
      <c r="A4" s="18" t="s">
        <v>11</v>
      </c>
      <c r="B4" s="20">
        <v>89.171495212374168</v>
      </c>
      <c r="C4" s="20">
        <v>90.377882420091325</v>
      </c>
    </row>
    <row r="5" spans="1:3" x14ac:dyDescent="0.2">
      <c r="A5" s="19" t="s">
        <v>12</v>
      </c>
      <c r="B5" s="20">
        <v>96.843480888351721</v>
      </c>
      <c r="C5" s="20">
        <v>97.450104239054895</v>
      </c>
    </row>
    <row r="6" spans="1:3" x14ac:dyDescent="0.2">
      <c r="A6" s="19" t="s">
        <v>18</v>
      </c>
      <c r="B6" s="20">
        <v>86.282318328920269</v>
      </c>
      <c r="C6" s="20">
        <v>87.713134832072285</v>
      </c>
    </row>
    <row r="7" spans="1:3" x14ac:dyDescent="0.2">
      <c r="A7" s="19" t="s">
        <v>19</v>
      </c>
      <c r="B7" s="20">
        <v>87.669843995992551</v>
      </c>
      <c r="C7" s="20">
        <v>88.962646373161121</v>
      </c>
    </row>
    <row r="8" spans="1:3" x14ac:dyDescent="0.2">
      <c r="A8" s="18" t="s">
        <v>20</v>
      </c>
      <c r="B8" s="20">
        <v>120.89861192570871</v>
      </c>
      <c r="C8" s="20">
        <v>121.15645913974605</v>
      </c>
    </row>
    <row r="9" spans="1:3" x14ac:dyDescent="0.2">
      <c r="A9" s="19" t="s">
        <v>12</v>
      </c>
      <c r="B9" s="20">
        <v>113.91517671517671</v>
      </c>
      <c r="C9" s="20">
        <v>114.46652987945627</v>
      </c>
    </row>
    <row r="10" spans="1:3" x14ac:dyDescent="0.2">
      <c r="A10" s="19" t="s">
        <v>18</v>
      </c>
      <c r="B10" s="20">
        <v>119.76910016977929</v>
      </c>
      <c r="C10" s="20">
        <v>120.31919572730129</v>
      </c>
    </row>
    <row r="11" spans="1:3" x14ac:dyDescent="0.2">
      <c r="A11" s="19" t="s">
        <v>19</v>
      </c>
      <c r="B11" s="20">
        <v>127.2361154855643</v>
      </c>
      <c r="C11" s="20">
        <v>126.99980574980574</v>
      </c>
    </row>
    <row r="12" spans="1:3" x14ac:dyDescent="0.2">
      <c r="A12" s="18" t="s">
        <v>21</v>
      </c>
      <c r="B12" s="7">
        <v>98.113463297444426</v>
      </c>
      <c r="C12" s="7">
        <v>99.084248334578348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A1BE-02EA-1D40-80FC-618AD4B3CFF4}">
  <sheetPr>
    <tabColor rgb="FFFFFF00"/>
  </sheetPr>
  <dimension ref="A1:C12"/>
  <sheetViews>
    <sheetView zoomScale="120" zoomScaleNormal="120" workbookViewId="0">
      <selection activeCell="E10" sqref="E10"/>
    </sheetView>
  </sheetViews>
  <sheetFormatPr baseColWidth="10" defaultRowHeight="15" x14ac:dyDescent="0.2"/>
  <cols>
    <col min="1" max="1" width="17" bestFit="1" customWidth="1"/>
    <col min="2" max="3" width="29.5" bestFit="1" customWidth="1"/>
    <col min="4" max="4" width="50.6640625" customWidth="1"/>
    <col min="5" max="5" width="30.33203125" bestFit="1" customWidth="1"/>
  </cols>
  <sheetData>
    <row r="1" spans="1:3" x14ac:dyDescent="0.2">
      <c r="A1" t="s">
        <v>30</v>
      </c>
    </row>
    <row r="2" spans="1:3" x14ac:dyDescent="0.2">
      <c r="A2" t="s">
        <v>31</v>
      </c>
    </row>
    <row r="3" spans="1:3" ht="16" x14ac:dyDescent="0.2">
      <c r="B3" s="21" t="s">
        <v>28</v>
      </c>
      <c r="C3" s="21" t="s">
        <v>29</v>
      </c>
    </row>
    <row r="4" spans="1:3" x14ac:dyDescent="0.2">
      <c r="A4" s="18" t="s">
        <v>11</v>
      </c>
      <c r="B4" s="20">
        <v>94.84977512051924</v>
      </c>
      <c r="C4" s="20">
        <v>95.799731753846672</v>
      </c>
    </row>
    <row r="5" spans="1:3" x14ac:dyDescent="0.2">
      <c r="A5" s="19" t="s">
        <v>12</v>
      </c>
      <c r="B5" s="20">
        <v>100.22815738156234</v>
      </c>
      <c r="C5" s="20">
        <v>100.79712803866916</v>
      </c>
    </row>
    <row r="6" spans="1:3" x14ac:dyDescent="0.2">
      <c r="A6" s="19" t="s">
        <v>18</v>
      </c>
      <c r="B6" s="20">
        <v>91.755172413793105</v>
      </c>
      <c r="C6" s="20">
        <v>92.842322134715715</v>
      </c>
    </row>
    <row r="7" spans="1:3" x14ac:dyDescent="0.2">
      <c r="A7" s="19" t="s">
        <v>19</v>
      </c>
      <c r="B7" s="20">
        <v>93.900174216027878</v>
      </c>
      <c r="C7" s="20">
        <v>94.945165008197648</v>
      </c>
    </row>
    <row r="8" spans="1:3" x14ac:dyDescent="0.2">
      <c r="A8" s="18" t="s">
        <v>20</v>
      </c>
      <c r="B8" s="20">
        <v>113.85195469492145</v>
      </c>
      <c r="C8" s="20">
        <v>114.02182976848242</v>
      </c>
    </row>
    <row r="9" spans="1:3" x14ac:dyDescent="0.2">
      <c r="A9" s="19" t="s">
        <v>12</v>
      </c>
      <c r="B9" s="20">
        <v>103.81608310888804</v>
      </c>
      <c r="C9" s="20">
        <v>103.7954905633194</v>
      </c>
    </row>
    <row r="10" spans="1:3" x14ac:dyDescent="0.2">
      <c r="A10" s="19" t="s">
        <v>18</v>
      </c>
      <c r="B10" s="20">
        <v>114.66313497822932</v>
      </c>
      <c r="C10" s="20">
        <v>115.21328499171926</v>
      </c>
    </row>
    <row r="11" spans="1:3" x14ac:dyDescent="0.2">
      <c r="A11" s="19" t="s">
        <v>19</v>
      </c>
      <c r="B11" s="20">
        <v>119.24455516014235</v>
      </c>
      <c r="C11" s="20">
        <v>119.08542956231616</v>
      </c>
    </row>
    <row r="12" spans="1:3" x14ac:dyDescent="0.2">
      <c r="A12" s="18" t="s">
        <v>21</v>
      </c>
      <c r="B12" s="7">
        <v>101.11089909891473</v>
      </c>
      <c r="C12" s="7">
        <v>101.80472629174324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G32"/>
  <sheetViews>
    <sheetView zoomScale="115" zoomScaleNormal="115" workbookViewId="0">
      <selection activeCell="B2" activeCellId="1" sqref="E2:E32 B2:B32"/>
    </sheetView>
  </sheetViews>
  <sheetFormatPr baseColWidth="10" defaultColWidth="8.83203125" defaultRowHeight="15" x14ac:dyDescent="0.2"/>
  <cols>
    <col min="1" max="1" width="15.33203125" customWidth="1"/>
    <col min="2" max="2" width="22.83203125" customWidth="1"/>
    <col min="3" max="7" width="12.33203125" customWidth="1"/>
  </cols>
  <sheetData>
    <row r="1" spans="1:7" ht="21" thickBot="1" x14ac:dyDescent="0.3">
      <c r="A1" s="17" t="s">
        <v>4</v>
      </c>
      <c r="B1" s="17"/>
      <c r="C1" s="17"/>
      <c r="D1" s="17"/>
      <c r="E1" s="17"/>
      <c r="F1" s="17"/>
      <c r="G1" s="17"/>
    </row>
    <row r="2" spans="1:7" s="1" customFormat="1" ht="38.25" customHeight="1" thickTop="1" x14ac:dyDescent="0.2">
      <c r="A2" s="10" t="s">
        <v>0</v>
      </c>
      <c r="B2" s="11" t="s">
        <v>5</v>
      </c>
      <c r="C2" s="11" t="s">
        <v>6</v>
      </c>
      <c r="D2" s="11" t="s">
        <v>7</v>
      </c>
      <c r="E2" s="11" t="s">
        <v>8</v>
      </c>
      <c r="F2" s="12" t="s">
        <v>9</v>
      </c>
      <c r="G2" s="12" t="s">
        <v>10</v>
      </c>
    </row>
    <row r="3" spans="1:7" x14ac:dyDescent="0.2">
      <c r="A3" t="s">
        <v>11</v>
      </c>
      <c r="B3" s="6" t="s">
        <v>12</v>
      </c>
      <c r="C3" t="s">
        <v>13</v>
      </c>
      <c r="D3">
        <v>4650</v>
      </c>
      <c r="E3">
        <v>5020</v>
      </c>
      <c r="F3" s="7">
        <v>462891</v>
      </c>
      <c r="G3" s="7">
        <v>502482</v>
      </c>
    </row>
    <row r="4" spans="1:7" x14ac:dyDescent="0.2">
      <c r="A4" t="s">
        <v>11</v>
      </c>
      <c r="B4" s="6" t="s">
        <v>12</v>
      </c>
      <c r="C4" t="s">
        <v>14</v>
      </c>
      <c r="D4">
        <v>4788</v>
      </c>
      <c r="E4">
        <v>5175</v>
      </c>
      <c r="F4" s="7">
        <v>487179</v>
      </c>
      <c r="G4" s="7">
        <v>529402</v>
      </c>
    </row>
    <row r="5" spans="1:7" x14ac:dyDescent="0.2">
      <c r="A5" t="s">
        <v>11</v>
      </c>
      <c r="B5" s="6" t="s">
        <v>12</v>
      </c>
      <c r="C5" t="s">
        <v>15</v>
      </c>
      <c r="D5">
        <v>5061</v>
      </c>
      <c r="E5">
        <v>5470</v>
      </c>
      <c r="F5" s="7">
        <v>424464</v>
      </c>
      <c r="G5" s="7">
        <v>461775</v>
      </c>
    </row>
    <row r="6" spans="1:7" x14ac:dyDescent="0.2">
      <c r="A6" t="s">
        <v>11</v>
      </c>
      <c r="B6" s="6" t="s">
        <v>12</v>
      </c>
      <c r="C6" t="s">
        <v>16</v>
      </c>
      <c r="D6">
        <v>8177</v>
      </c>
      <c r="E6">
        <v>8920</v>
      </c>
      <c r="F6" s="7">
        <v>857550</v>
      </c>
      <c r="G6" s="7">
        <v>940532</v>
      </c>
    </row>
    <row r="7" spans="1:7" x14ac:dyDescent="0.2">
      <c r="A7" t="s">
        <v>11</v>
      </c>
      <c r="B7" s="6" t="s">
        <v>12</v>
      </c>
      <c r="C7" t="s">
        <v>17</v>
      </c>
      <c r="D7">
        <v>3477</v>
      </c>
      <c r="E7">
        <v>3758</v>
      </c>
      <c r="F7" s="7">
        <v>389183</v>
      </c>
      <c r="G7" s="7">
        <v>422702</v>
      </c>
    </row>
    <row r="8" spans="1:7" x14ac:dyDescent="0.2">
      <c r="A8" t="s">
        <v>11</v>
      </c>
      <c r="B8" s="8" t="s">
        <v>18</v>
      </c>
      <c r="C8" t="s">
        <v>13</v>
      </c>
      <c r="D8">
        <v>5610</v>
      </c>
      <c r="E8">
        <v>6064</v>
      </c>
      <c r="F8" s="7">
        <v>507329</v>
      </c>
      <c r="G8" s="7">
        <v>551721</v>
      </c>
    </row>
    <row r="9" spans="1:7" x14ac:dyDescent="0.2">
      <c r="A9" t="s">
        <v>11</v>
      </c>
      <c r="B9" t="s">
        <v>18</v>
      </c>
      <c r="C9" t="s">
        <v>14</v>
      </c>
      <c r="D9">
        <v>3243</v>
      </c>
      <c r="E9">
        <v>3505</v>
      </c>
      <c r="F9" s="7">
        <v>398080</v>
      </c>
      <c r="G9" s="7">
        <v>432168</v>
      </c>
    </row>
    <row r="10" spans="1:7" x14ac:dyDescent="0.2">
      <c r="A10" t="s">
        <v>11</v>
      </c>
      <c r="B10" t="s">
        <v>18</v>
      </c>
      <c r="C10" t="s">
        <v>15</v>
      </c>
      <c r="D10">
        <v>4536</v>
      </c>
      <c r="E10">
        <v>4903</v>
      </c>
      <c r="F10" s="7">
        <v>583512</v>
      </c>
      <c r="G10" s="7">
        <v>633419</v>
      </c>
    </row>
    <row r="11" spans="1:7" x14ac:dyDescent="0.2">
      <c r="A11" t="s">
        <v>11</v>
      </c>
      <c r="B11" t="s">
        <v>18</v>
      </c>
      <c r="C11" t="s">
        <v>16</v>
      </c>
      <c r="D11">
        <v>12459</v>
      </c>
      <c r="E11">
        <v>13468</v>
      </c>
      <c r="F11" s="7">
        <v>882856</v>
      </c>
      <c r="G11" s="7">
        <v>977959</v>
      </c>
    </row>
    <row r="12" spans="1:7" x14ac:dyDescent="0.2">
      <c r="A12" t="s">
        <v>11</v>
      </c>
      <c r="B12" t="s">
        <v>18</v>
      </c>
      <c r="C12" t="s">
        <v>17</v>
      </c>
      <c r="D12">
        <v>1992</v>
      </c>
      <c r="E12">
        <v>2153</v>
      </c>
      <c r="F12" s="7">
        <v>182687</v>
      </c>
      <c r="G12" s="7">
        <v>198637</v>
      </c>
    </row>
    <row r="13" spans="1:7" x14ac:dyDescent="0.2">
      <c r="A13" t="s">
        <v>11</v>
      </c>
      <c r="B13" t="s">
        <v>19</v>
      </c>
      <c r="C13" t="s">
        <v>13</v>
      </c>
      <c r="D13">
        <v>14350</v>
      </c>
      <c r="E13">
        <v>15512</v>
      </c>
      <c r="F13" s="7">
        <v>1578500</v>
      </c>
      <c r="G13" s="7">
        <v>1714851</v>
      </c>
    </row>
    <row r="14" spans="1:7" x14ac:dyDescent="0.2">
      <c r="A14" t="s">
        <v>11</v>
      </c>
      <c r="B14" t="s">
        <v>19</v>
      </c>
      <c r="C14" t="s">
        <v>14</v>
      </c>
      <c r="D14">
        <v>3843</v>
      </c>
      <c r="E14">
        <v>4154</v>
      </c>
      <c r="F14" s="7">
        <v>350261</v>
      </c>
      <c r="G14" s="7">
        <v>380892</v>
      </c>
    </row>
    <row r="15" spans="1:7" x14ac:dyDescent="0.2">
      <c r="A15" t="s">
        <v>11</v>
      </c>
      <c r="B15" t="s">
        <v>19</v>
      </c>
      <c r="C15" t="s">
        <v>15</v>
      </c>
      <c r="D15">
        <v>8946</v>
      </c>
      <c r="E15">
        <v>9225</v>
      </c>
      <c r="F15" s="7">
        <v>1032775</v>
      </c>
      <c r="G15" s="7">
        <v>1077757</v>
      </c>
    </row>
    <row r="16" spans="1:7" x14ac:dyDescent="0.2">
      <c r="A16" t="s">
        <v>11</v>
      </c>
      <c r="B16" t="s">
        <v>19</v>
      </c>
      <c r="C16" t="s">
        <v>16</v>
      </c>
      <c r="D16">
        <v>25989</v>
      </c>
      <c r="E16">
        <v>28094</v>
      </c>
      <c r="F16" s="7">
        <v>2029971</v>
      </c>
      <c r="G16" s="7">
        <v>2242240</v>
      </c>
    </row>
    <row r="17" spans="1:7" x14ac:dyDescent="0.2">
      <c r="A17" t="s">
        <v>11</v>
      </c>
      <c r="B17" t="s">
        <v>19</v>
      </c>
      <c r="C17" t="s">
        <v>17</v>
      </c>
      <c r="D17">
        <v>4272</v>
      </c>
      <c r="E17">
        <v>4618</v>
      </c>
      <c r="F17" s="7">
        <v>398363</v>
      </c>
      <c r="G17" s="7">
        <v>433167</v>
      </c>
    </row>
    <row r="18" spans="1:7" x14ac:dyDescent="0.2">
      <c r="A18" t="s">
        <v>20</v>
      </c>
      <c r="B18" s="6" t="s">
        <v>12</v>
      </c>
      <c r="C18" t="s">
        <v>13</v>
      </c>
      <c r="D18">
        <v>3305</v>
      </c>
      <c r="E18">
        <v>3410</v>
      </c>
      <c r="F18" s="7">
        <v>244556</v>
      </c>
      <c r="G18" s="7">
        <v>241453</v>
      </c>
    </row>
    <row r="19" spans="1:7" x14ac:dyDescent="0.2">
      <c r="A19" t="s">
        <v>20</v>
      </c>
      <c r="B19" s="6" t="s">
        <v>12</v>
      </c>
      <c r="C19" t="s">
        <v>14</v>
      </c>
      <c r="D19">
        <v>1308</v>
      </c>
      <c r="E19">
        <v>1413</v>
      </c>
      <c r="F19" s="7">
        <v>167939</v>
      </c>
      <c r="G19" s="7">
        <v>182197</v>
      </c>
    </row>
    <row r="20" spans="1:7" x14ac:dyDescent="0.2">
      <c r="A20" t="s">
        <v>20</v>
      </c>
      <c r="B20" s="6" t="s">
        <v>12</v>
      </c>
      <c r="C20" t="s">
        <v>15</v>
      </c>
      <c r="D20">
        <v>1491</v>
      </c>
      <c r="E20">
        <v>1611</v>
      </c>
      <c r="F20" s="7">
        <v>144216</v>
      </c>
      <c r="G20" s="7">
        <v>156709</v>
      </c>
    </row>
    <row r="21" spans="1:7" x14ac:dyDescent="0.2">
      <c r="A21" t="s">
        <v>20</v>
      </c>
      <c r="B21" s="6" t="s">
        <v>12</v>
      </c>
      <c r="C21" t="s">
        <v>16</v>
      </c>
      <c r="D21">
        <v>5724</v>
      </c>
      <c r="E21">
        <v>6187</v>
      </c>
      <c r="F21" s="7">
        <v>677682</v>
      </c>
      <c r="G21" s="7">
        <v>735901</v>
      </c>
    </row>
    <row r="22" spans="1:7" x14ac:dyDescent="0.2">
      <c r="A22" t="s">
        <v>20</v>
      </c>
      <c r="B22" s="6" t="s">
        <v>12</v>
      </c>
      <c r="C22" t="s">
        <v>17</v>
      </c>
      <c r="D22">
        <v>1167</v>
      </c>
      <c r="E22">
        <v>1261</v>
      </c>
      <c r="F22" s="7">
        <v>114697</v>
      </c>
      <c r="G22" s="7">
        <v>124629</v>
      </c>
    </row>
    <row r="23" spans="1:7" x14ac:dyDescent="0.2">
      <c r="A23" t="s">
        <v>20</v>
      </c>
      <c r="B23" s="8" t="s">
        <v>18</v>
      </c>
      <c r="C23" t="s">
        <v>13</v>
      </c>
      <c r="D23">
        <v>3900</v>
      </c>
      <c r="E23">
        <v>4215</v>
      </c>
      <c r="F23" s="7">
        <v>399553</v>
      </c>
      <c r="G23" s="7">
        <v>434143</v>
      </c>
    </row>
    <row r="24" spans="1:7" x14ac:dyDescent="0.2">
      <c r="A24" t="s">
        <v>20</v>
      </c>
      <c r="B24" t="s">
        <v>18</v>
      </c>
      <c r="C24" t="s">
        <v>14</v>
      </c>
      <c r="D24">
        <v>3783</v>
      </c>
      <c r="E24">
        <v>4089</v>
      </c>
      <c r="F24" s="7">
        <v>443613</v>
      </c>
      <c r="G24" s="7">
        <v>481745</v>
      </c>
    </row>
    <row r="25" spans="1:7" x14ac:dyDescent="0.2">
      <c r="A25" t="s">
        <v>20</v>
      </c>
      <c r="B25" t="s">
        <v>18</v>
      </c>
      <c r="C25" t="s">
        <v>15</v>
      </c>
      <c r="D25">
        <v>4206</v>
      </c>
      <c r="E25">
        <v>4546</v>
      </c>
      <c r="F25" s="7">
        <v>508607</v>
      </c>
      <c r="G25" s="7">
        <v>552222</v>
      </c>
    </row>
    <row r="26" spans="1:7" x14ac:dyDescent="0.2">
      <c r="A26" t="s">
        <v>20</v>
      </c>
      <c r="B26" t="s">
        <v>18</v>
      </c>
      <c r="C26" t="s">
        <v>16</v>
      </c>
      <c r="D26">
        <v>4629</v>
      </c>
      <c r="E26">
        <v>5003</v>
      </c>
      <c r="F26" s="7">
        <v>549553</v>
      </c>
      <c r="G26" s="7">
        <v>596706</v>
      </c>
    </row>
    <row r="27" spans="1:7" x14ac:dyDescent="0.2">
      <c r="A27" t="s">
        <v>20</v>
      </c>
      <c r="B27" t="s">
        <v>18</v>
      </c>
      <c r="C27" t="s">
        <v>17</v>
      </c>
      <c r="D27">
        <v>4152</v>
      </c>
      <c r="E27">
        <v>4488</v>
      </c>
      <c r="F27" s="7">
        <v>468761</v>
      </c>
      <c r="G27" s="7">
        <v>509164</v>
      </c>
    </row>
    <row r="28" spans="1:7" x14ac:dyDescent="0.2">
      <c r="A28" t="s">
        <v>20</v>
      </c>
      <c r="B28" t="s">
        <v>19</v>
      </c>
      <c r="C28" t="s">
        <v>13</v>
      </c>
      <c r="D28">
        <v>4095</v>
      </c>
      <c r="E28">
        <v>4426</v>
      </c>
      <c r="F28" s="7">
        <v>635884</v>
      </c>
      <c r="G28" s="7">
        <v>681634</v>
      </c>
    </row>
    <row r="29" spans="1:7" x14ac:dyDescent="0.2">
      <c r="A29" t="s">
        <v>20</v>
      </c>
      <c r="B29" t="s">
        <v>19</v>
      </c>
      <c r="C29" t="s">
        <v>14</v>
      </c>
      <c r="D29">
        <v>4098</v>
      </c>
      <c r="E29">
        <v>4429</v>
      </c>
      <c r="F29" s="7">
        <v>360624</v>
      </c>
      <c r="G29" s="7">
        <v>392187</v>
      </c>
    </row>
    <row r="30" spans="1:7" x14ac:dyDescent="0.2">
      <c r="A30" t="s">
        <v>20</v>
      </c>
      <c r="B30" t="s">
        <v>19</v>
      </c>
      <c r="C30" t="s">
        <v>15</v>
      </c>
      <c r="D30">
        <v>3951</v>
      </c>
      <c r="E30">
        <v>4271</v>
      </c>
      <c r="F30" s="7">
        <v>441589</v>
      </c>
      <c r="G30" s="7">
        <v>479704</v>
      </c>
    </row>
    <row r="31" spans="1:7" x14ac:dyDescent="0.2">
      <c r="A31" t="s">
        <v>20</v>
      </c>
      <c r="B31" t="s">
        <v>19</v>
      </c>
      <c r="C31" t="s">
        <v>16</v>
      </c>
      <c r="D31">
        <v>5574</v>
      </c>
      <c r="E31">
        <v>6025</v>
      </c>
      <c r="F31" s="7">
        <v>770335</v>
      </c>
      <c r="G31" s="7">
        <v>827886</v>
      </c>
    </row>
    <row r="32" spans="1:7" x14ac:dyDescent="0.2">
      <c r="A32" t="s">
        <v>20</v>
      </c>
      <c r="B32" t="s">
        <v>19</v>
      </c>
      <c r="C32" t="s">
        <v>17</v>
      </c>
      <c r="D32">
        <v>3357</v>
      </c>
      <c r="E32">
        <v>3628</v>
      </c>
      <c r="F32" s="7">
        <v>304647</v>
      </c>
      <c r="G32" s="7">
        <v>331236</v>
      </c>
    </row>
  </sheetData>
  <sortState xmlns:xlrd2="http://schemas.microsoft.com/office/spreadsheetml/2017/richdata2" ref="A3:F62">
    <sortCondition ref="A3:A62"/>
    <sortCondition ref="B3:B62"/>
    <sortCondition ref="C3:C62"/>
  </sortState>
  <mergeCells count="1">
    <mergeCell ref="A1:G1"/>
  </mergeCells>
  <pageMargins left="0.7" right="0.7" top="0.75" bottom="0.75" header="0.3" footer="0.3"/>
  <pageSetup scale="95"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Charts</vt:lpstr>
      </vt:variant>
      <vt:variant>
        <vt:i4>3</vt:i4>
      </vt:variant>
    </vt:vector>
  </HeadingPairs>
  <TitlesOfParts>
    <vt:vector size="8" baseType="lpstr">
      <vt:lpstr>6-Year Billable Hours</vt:lpstr>
      <vt:lpstr>Revenue PivotTable</vt:lpstr>
      <vt:lpstr>Slicers</vt:lpstr>
      <vt:lpstr>Average Revenue</vt:lpstr>
      <vt:lpstr>Analysis Figures</vt:lpstr>
      <vt:lpstr>Trendline Chart</vt:lpstr>
      <vt:lpstr>Revenue Pivot Chart</vt:lpstr>
      <vt:lpstr>Box and Whisker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lastModifiedBy>Joseph Korman</cp:lastModifiedBy>
  <cp:lastPrinted>2013-06-02T12:25:14Z</cp:lastPrinted>
  <dcterms:created xsi:type="dcterms:W3CDTF">2010-10-20T15:35:58Z</dcterms:created>
  <dcterms:modified xsi:type="dcterms:W3CDTF">2025-03-19T19:45:38Z</dcterms:modified>
</cp:coreProperties>
</file>