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sephkorman/Desktop/Class Documents/"/>
    </mc:Choice>
  </mc:AlternateContent>
  <xr:revisionPtr revIDLastSave="0" documentId="13_ncr:1_{0E8706E9-1852-BA4B-8A48-7485BF3F8471}" xr6:coauthVersionLast="47" xr6:coauthVersionMax="47" xr10:uidLastSave="{00000000-0000-0000-0000-000000000000}"/>
  <bookViews>
    <workbookView xWindow="0" yWindow="800" windowWidth="30220" windowHeight="17380" xr2:uid="{D50FFA5C-01FD-9541-9870-8BE4715161B6}"/>
  </bookViews>
  <sheets>
    <sheet name="Six-Month Financial Projection" sheetId="1" r:id="rId1"/>
    <sheet name="Expense Chart 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H12" i="1"/>
  <c r="C5" i="1"/>
  <c r="C6" i="1" s="1"/>
  <c r="D5" i="1"/>
  <c r="D6" i="1" s="1"/>
  <c r="E5" i="1"/>
  <c r="E6" i="1" s="1"/>
  <c r="F5" i="1"/>
  <c r="G5" i="1"/>
  <c r="G6" i="1" s="1"/>
  <c r="F6" i="1"/>
  <c r="C9" i="1"/>
  <c r="D9" i="1"/>
  <c r="E9" i="1"/>
  <c r="F9" i="1"/>
  <c r="G9" i="1"/>
  <c r="C10" i="1"/>
  <c r="D10" i="1"/>
  <c r="D14" i="1" s="1"/>
  <c r="D16" i="1" s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H13" i="1" s="1"/>
  <c r="B5" i="1"/>
  <c r="B6" i="1" s="1"/>
  <c r="B13" i="1"/>
  <c r="B12" i="1"/>
  <c r="B11" i="1"/>
  <c r="B9" i="1"/>
  <c r="H1" i="1"/>
  <c r="H4" i="1"/>
  <c r="H11" i="1" l="1"/>
  <c r="B14" i="1"/>
  <c r="B16" i="1" s="1"/>
  <c r="H6" i="1"/>
  <c r="H5" i="1"/>
  <c r="H10" i="1"/>
  <c r="F14" i="1"/>
  <c r="F16" i="1" s="1"/>
  <c r="C14" i="1"/>
  <c r="C16" i="1" s="1"/>
  <c r="H9" i="1"/>
  <c r="E14" i="1"/>
  <c r="E16" i="1" s="1"/>
  <c r="G14" i="1"/>
  <c r="G16" i="1" s="1"/>
  <c r="H14" i="1" l="1"/>
  <c r="H16" i="1"/>
</calcChain>
</file>

<file path=xl/sharedStrings.xml><?xml version="1.0" encoding="utf-8"?>
<sst xmlns="http://schemas.openxmlformats.org/spreadsheetml/2006/main" count="29" uniqueCount="24">
  <si>
    <t>Manola Department Stores</t>
  </si>
  <si>
    <t>Six-Month Financial Projection</t>
  </si>
  <si>
    <t>January</t>
  </si>
  <si>
    <t>February</t>
  </si>
  <si>
    <t>March</t>
  </si>
  <si>
    <t>April</t>
  </si>
  <si>
    <t>May</t>
  </si>
  <si>
    <t>June</t>
  </si>
  <si>
    <t>Total</t>
  </si>
  <si>
    <t>Chart</t>
  </si>
  <si>
    <t>Revenue</t>
  </si>
  <si>
    <t>Cost of Goods Sold</t>
  </si>
  <si>
    <t>Gross Margin</t>
  </si>
  <si>
    <t>Expenses</t>
  </si>
  <si>
    <t>Bonus</t>
  </si>
  <si>
    <t>Salary</t>
  </si>
  <si>
    <t>Site Rental</t>
  </si>
  <si>
    <t>Marketing</t>
  </si>
  <si>
    <t>Miscellaneous</t>
  </si>
  <si>
    <t>Total Expenses</t>
  </si>
  <si>
    <t>Operating Income</t>
  </si>
  <si>
    <t>What-If Assumptions</t>
  </si>
  <si>
    <t>Sales Revenue for Bonus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</si>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</sst>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&quot;$&quot;#,##0.00"/>
  </numFmts>
  <fonts count="14" x14ac:knownFonts="1"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2"/>
      <color theme="1"/>
      <name val="Century Gothic"/>
      <family val="1"/>
      <scheme val="minor"/>
    </font>
    <font>
      <b/>
      <sz val="28"/>
      <color theme="3"/>
      <name val="Century Gothic"/>
      <family val="1"/>
      <scheme val="minor"/>
    </font>
    <font>
      <sz val="12"/>
      <color theme="3"/>
      <name val="Century Gothic"/>
      <family val="2"/>
      <scheme val="minor"/>
    </font>
    <font>
      <b/>
      <sz val="16"/>
      <color theme="3"/>
      <name val="Century Gothic (Body)"/>
    </font>
    <font>
      <b/>
      <sz val="12"/>
      <color theme="3"/>
      <name val="Century Gothic"/>
      <family val="1"/>
      <scheme val="minor"/>
    </font>
    <font>
      <b/>
      <sz val="9"/>
      <color theme="3"/>
      <name val="Century Gothic"/>
      <family val="1"/>
      <scheme val="minor"/>
    </font>
    <font>
      <sz val="9"/>
      <color theme="3"/>
      <name val="Century Gothic"/>
      <family val="1"/>
      <scheme val="minor"/>
    </font>
    <font>
      <b/>
      <i/>
      <u/>
      <sz val="9"/>
      <color theme="3"/>
      <name val="Century Gothic"/>
      <family val="1"/>
      <scheme val="minor"/>
    </font>
    <font>
      <sz val="12"/>
      <color theme="3"/>
      <name val="Century Gothic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textRotation="75"/>
    </xf>
    <xf numFmtId="165" fontId="0" fillId="0" borderId="0" xfId="1" applyNumberFormat="1" applyFont="1"/>
    <xf numFmtId="165" fontId="0" fillId="0" borderId="0" xfId="0" applyNumberFormat="1"/>
    <xf numFmtId="40" fontId="0" fillId="0" borderId="0" xfId="1" applyNumberFormat="1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6" fillId="2" borderId="0" xfId="0" applyFont="1" applyFill="1"/>
    <xf numFmtId="0" fontId="7" fillId="2" borderId="0" xfId="0" applyFont="1" applyFill="1"/>
    <xf numFmtId="164" fontId="7" fillId="2" borderId="0" xfId="0" applyNumberFormat="1" applyFont="1" applyFill="1"/>
    <xf numFmtId="0" fontId="8" fillId="2" borderId="0" xfId="0" applyFont="1" applyFill="1"/>
    <xf numFmtId="0" fontId="3" fillId="0" borderId="1" xfId="2"/>
    <xf numFmtId="0" fontId="3" fillId="0" borderId="1" xfId="2" applyAlignment="1">
      <alignment textRotation="75"/>
    </xf>
    <xf numFmtId="165" fontId="4" fillId="0" borderId="2" xfId="3" applyNumberFormat="1"/>
    <xf numFmtId="0" fontId="4" fillId="0" borderId="2" xfId="3" applyAlignment="1">
      <alignment horizontal="left"/>
    </xf>
    <xf numFmtId="0" fontId="9" fillId="2" borderId="0" xfId="0" applyFont="1" applyFill="1"/>
    <xf numFmtId="165" fontId="9" fillId="2" borderId="0" xfId="0" applyNumberFormat="1" applyFont="1" applyFill="1"/>
    <xf numFmtId="0" fontId="10" fillId="2" borderId="0" xfId="0" applyFont="1" applyFill="1" applyAlignment="1">
      <alignment horizontal="left" indent="1"/>
    </xf>
    <xf numFmtId="10" fontId="11" fillId="2" borderId="0" xfId="0" applyNumberFormat="1" applyFont="1" applyFill="1"/>
    <xf numFmtId="43" fontId="11" fillId="2" borderId="0" xfId="1" applyFont="1" applyFill="1"/>
    <xf numFmtId="0" fontId="12" fillId="2" borderId="0" xfId="0" applyFont="1" applyFill="1" applyAlignment="1">
      <alignment horizontal="left"/>
    </xf>
    <xf numFmtId="0" fontId="13" fillId="2" borderId="0" xfId="0" applyFont="1" applyFill="1"/>
    <xf numFmtId="165" fontId="0" fillId="0" borderId="0" xfId="4" applyNumberFormat="1" applyFont="1"/>
  </cellXfs>
  <cellStyles count="5">
    <cellStyle name="Comma" xfId="1" builtinId="3"/>
    <cellStyle name="Currency" xfId="4" builtinId="4"/>
    <cellStyle name="Heading 3" xfId="2" builtinId="18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Six-Month Projected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'Six-Month Financial Projection'!$A$9</c:f>
              <c:strCache>
                <c:ptCount val="1"/>
                <c:pt idx="0">
                  <c:v>Bonus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3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val>
            <c:numRef>
              <c:f>'Six-Month Financial Projection'!$B$9:$G$9</c:f>
              <c:numCache>
                <c:formatCode>"$"#,##0.00</c:formatCode>
                <c:ptCount val="6"/>
                <c:pt idx="0">
                  <c:v>7500</c:v>
                </c:pt>
                <c:pt idx="1">
                  <c:v>7500</c:v>
                </c:pt>
                <c:pt idx="2">
                  <c:v>0</c:v>
                </c:pt>
                <c:pt idx="3">
                  <c:v>7500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2-3C4C-8C5C-DFA377CA9F3A}"/>
            </c:ext>
          </c:extLst>
        </c:ser>
        <c:ser>
          <c:idx val="3"/>
          <c:order val="1"/>
          <c:tx>
            <c:strRef>
              <c:f>'Six-Month Financial Projection'!$A$10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4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val>
            <c:numRef>
              <c:f>'Six-Month Financial Projection'!$B$10:$G$10</c:f>
              <c:numCache>
                <c:formatCode>#,##0.00_);[Red]\(#,##0.00\)</c:formatCode>
                <c:ptCount val="6"/>
                <c:pt idx="0">
                  <c:v>367625</c:v>
                </c:pt>
                <c:pt idx="1">
                  <c:v>351250</c:v>
                </c:pt>
                <c:pt idx="2">
                  <c:v>296650</c:v>
                </c:pt>
                <c:pt idx="3">
                  <c:v>374500</c:v>
                </c:pt>
                <c:pt idx="4">
                  <c:v>275725</c:v>
                </c:pt>
                <c:pt idx="5">
                  <c:v>286325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2-3C4C-8C5C-DFA377CA9F3A}"/>
            </c:ext>
          </c:extLst>
        </c:ser>
        <c:ser>
          <c:idx val="4"/>
          <c:order val="2"/>
          <c:tx>
            <c:strRef>
              <c:f>'Six-Month Financial Projection'!$A$11</c:f>
              <c:strCache>
                <c:ptCount val="1"/>
                <c:pt idx="0">
                  <c:v>Site Rental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5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val>
            <c:numRef>
              <c:f>'Six-Month Financial Projection'!$B$11:$G$11</c:f>
              <c:numCache>
                <c:formatCode>#,##0.00_);[Red]\(#,##0.00\)</c:formatCode>
                <c:ptCount val="6"/>
                <c:pt idx="0">
                  <c:v>147050</c:v>
                </c:pt>
                <c:pt idx="1">
                  <c:v>140500</c:v>
                </c:pt>
                <c:pt idx="2">
                  <c:v>118660</c:v>
                </c:pt>
                <c:pt idx="3">
                  <c:v>149800</c:v>
                </c:pt>
                <c:pt idx="4">
                  <c:v>110290</c:v>
                </c:pt>
                <c:pt idx="5">
                  <c:v>114530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2-3C4C-8C5C-DFA377CA9F3A}"/>
            </c:ext>
          </c:extLst>
        </c:ser>
        <c:ser>
          <c:idx val="0"/>
          <c:order val="3"/>
          <c:tx>
            <c:strRef>
              <c:f>'Six-Month Financial Projection'!$A$12</c:f>
              <c:strCache>
                <c:ptCount val="1"/>
                <c:pt idx="0">
                  <c:v>Marketing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val>
            <c:numRef>
              <c:f>'Six-Month Financial Projection'!$B$12:$G$12</c:f>
              <c:numCache>
                <c:formatCode>#,##0.00_);[Red]\(#,##0.00\)</c:formatCode>
                <c:ptCount val="6"/>
                <c:pt idx="0">
                  <c:v>51467.500000000007</c:v>
                </c:pt>
                <c:pt idx="1">
                  <c:v>49175.000000000007</c:v>
                </c:pt>
                <c:pt idx="2">
                  <c:v>41531.000000000007</c:v>
                </c:pt>
                <c:pt idx="3">
                  <c:v>52430.000000000007</c:v>
                </c:pt>
                <c:pt idx="4">
                  <c:v>38601.500000000007</c:v>
                </c:pt>
                <c:pt idx="5">
                  <c:v>40085.500000000007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C2-3C4C-8C5C-DFA377CA9F3A}"/>
            </c:ext>
          </c:extLst>
        </c:ser>
        <c:ser>
          <c:idx val="1"/>
          <c:order val="4"/>
          <c:tx>
            <c:strRef>
              <c:f>'Six-Month Financial Projection'!$A$13</c:f>
              <c:strCache>
                <c:ptCount val="1"/>
                <c:pt idx="0">
                  <c:v>Miscellaneous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2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innerShdw blurRad="25400" dist="12700" dir="13500000">
                <a:srgbClr val="000000">
                  <a:alpha val="45000"/>
                </a:srgbClr>
              </a:innerShdw>
            </a:effectLst>
          </c:spPr>
          <c:invertIfNegative val="0"/>
          <c:val>
            <c:numRef>
              <c:f>'Six-Month Financial Projection'!$B$13:$G$13</c:f>
              <c:numCache>
                <c:formatCode>#,##0.00_);[Red]\(#,##0.00\)</c:formatCode>
                <c:ptCount val="6"/>
                <c:pt idx="0">
                  <c:v>51467.500000000007</c:v>
                </c:pt>
                <c:pt idx="1">
                  <c:v>49175.000000000007</c:v>
                </c:pt>
                <c:pt idx="2">
                  <c:v>41531.000000000007</c:v>
                </c:pt>
                <c:pt idx="3">
                  <c:v>52430.000000000007</c:v>
                </c:pt>
                <c:pt idx="4">
                  <c:v>38601.500000000007</c:v>
                </c:pt>
                <c:pt idx="5">
                  <c:v>40085.500000000007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C2-3C4C-8C5C-DFA377CA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7716592"/>
        <c:axId val="867718320"/>
      </c:barChart>
      <c:catAx>
        <c:axId val="8677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18320"/>
        <c:crosses val="autoZero"/>
        <c:auto val="1"/>
        <c:lblAlgn val="ctr"/>
        <c:lblOffset val="100"/>
        <c:noMultiLvlLbl val="0"/>
      </c:catAx>
      <c:valAx>
        <c:axId val="8677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C9AEB6-C209-7F4C-AAB7-DBE296BE0497}">
  <sheetPr>
    <tabColor theme="3"/>
  </sheetPr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411" cy="62909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9FC33-8687-DC32-1466-3ACFA272F7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1E47-B9CA-7E45-8333-0C1A57CB19A3}">
  <sheetPr>
    <tabColor theme="2"/>
  </sheetPr>
  <dimension ref="A1:M25"/>
  <sheetViews>
    <sheetView tabSelected="1" topLeftCell="A2" zoomScale="150" zoomScaleNormal="100" workbookViewId="0">
      <selection activeCell="A6" sqref="A6"/>
    </sheetView>
  </sheetViews>
  <sheetFormatPr baseColWidth="10" defaultRowHeight="16" x14ac:dyDescent="0.2"/>
  <cols>
    <col min="1" max="1" width="39.28515625" style="5" customWidth="1"/>
    <col min="2" max="6" width="15.7109375" customWidth="1"/>
    <col min="7" max="8" width="12.42578125" bestFit="1" customWidth="1"/>
  </cols>
  <sheetData>
    <row r="1" spans="1:13" ht="35" x14ac:dyDescent="0.35">
      <c r="A1" s="7" t="s">
        <v>0</v>
      </c>
      <c r="B1" s="8"/>
      <c r="C1" s="8"/>
      <c r="D1" s="8"/>
      <c r="E1" s="8"/>
      <c r="F1" s="8"/>
      <c r="G1" s="8"/>
      <c r="H1" s="9">
        <f ca="1">NOW()</f>
        <v>45690.562993055559</v>
      </c>
      <c r="I1" s="8"/>
    </row>
    <row r="2" spans="1:13" ht="21" x14ac:dyDescent="0.25">
      <c r="A2" s="10" t="s">
        <v>1</v>
      </c>
      <c r="B2" s="8"/>
      <c r="C2" s="8"/>
      <c r="D2" s="8"/>
      <c r="E2" s="8"/>
      <c r="F2" s="8"/>
      <c r="G2" s="8"/>
      <c r="H2" s="8"/>
      <c r="I2" s="8"/>
    </row>
    <row r="3" spans="1:13" ht="55" thickBot="1" x14ac:dyDescent="0.25">
      <c r="A3" s="11"/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"/>
      <c r="K3" s="1"/>
      <c r="L3" s="1"/>
      <c r="M3" s="1"/>
    </row>
    <row r="4" spans="1:13" x14ac:dyDescent="0.2">
      <c r="A4" s="15" t="s">
        <v>10</v>
      </c>
      <c r="B4" s="2">
        <v>1470500</v>
      </c>
      <c r="C4" s="2">
        <v>1405000</v>
      </c>
      <c r="D4" s="2">
        <v>1186600</v>
      </c>
      <c r="E4" s="2">
        <v>1498000</v>
      </c>
      <c r="F4" s="2">
        <v>1102900</v>
      </c>
      <c r="G4" s="2">
        <v>1145300</v>
      </c>
      <c r="H4" s="3">
        <f>SUM(B4:G4)</f>
        <v>7808300</v>
      </c>
    </row>
    <row r="5" spans="1:13" x14ac:dyDescent="0.2">
      <c r="A5" s="6" t="s">
        <v>11</v>
      </c>
      <c r="B5" s="4">
        <f>B4*(1-$B$19)</f>
        <v>275718.75</v>
      </c>
      <c r="C5" s="4">
        <f t="shared" ref="C5:G5" si="0">C4*(1-$B$19)</f>
        <v>263437.5</v>
      </c>
      <c r="D5" s="4">
        <f t="shared" si="0"/>
        <v>222487.5</v>
      </c>
      <c r="E5" s="4">
        <f t="shared" si="0"/>
        <v>280875</v>
      </c>
      <c r="F5" s="4">
        <f t="shared" si="0"/>
        <v>206793.75</v>
      </c>
      <c r="G5" s="4">
        <f t="shared" si="0"/>
        <v>214743.75</v>
      </c>
      <c r="H5" s="4">
        <f>SUM(B5:G5)</f>
        <v>1464056.25</v>
      </c>
    </row>
    <row r="6" spans="1:13" ht="17" thickBot="1" x14ac:dyDescent="0.25">
      <c r="A6" s="15" t="s">
        <v>12</v>
      </c>
      <c r="B6" s="13">
        <f>B4-B5</f>
        <v>1194781.25</v>
      </c>
      <c r="C6" s="13">
        <f t="shared" ref="C6:G6" si="1">C4-C5</f>
        <v>1141562.5</v>
      </c>
      <c r="D6" s="13">
        <f t="shared" si="1"/>
        <v>964112.5</v>
      </c>
      <c r="E6" s="13">
        <f t="shared" si="1"/>
        <v>1217125</v>
      </c>
      <c r="F6" s="13">
        <f t="shared" si="1"/>
        <v>896106.25</v>
      </c>
      <c r="G6" s="13">
        <f t="shared" si="1"/>
        <v>930556.25</v>
      </c>
      <c r="H6" s="13">
        <f>SUM(B6:G6)</f>
        <v>6344243.75</v>
      </c>
    </row>
    <row r="7" spans="1:13" ht="17" thickTop="1" x14ac:dyDescent="0.2"/>
    <row r="8" spans="1:13" x14ac:dyDescent="0.2">
      <c r="A8" s="5" t="s">
        <v>13</v>
      </c>
    </row>
    <row r="9" spans="1:13" x14ac:dyDescent="0.2">
      <c r="A9" s="6" t="s">
        <v>14</v>
      </c>
      <c r="B9" s="22">
        <f>IF(B4&gt;=$B$21,$B$20,0)</f>
        <v>7500</v>
      </c>
      <c r="C9" s="22">
        <f t="shared" ref="C9:G9" si="2">IF(C4&gt;=$B$21,$B$20,0)</f>
        <v>7500</v>
      </c>
      <c r="D9" s="22">
        <f t="shared" si="2"/>
        <v>0</v>
      </c>
      <c r="E9" s="22">
        <f t="shared" si="2"/>
        <v>7500</v>
      </c>
      <c r="F9" s="22">
        <f t="shared" si="2"/>
        <v>0</v>
      </c>
      <c r="G9" s="22">
        <f t="shared" si="2"/>
        <v>0</v>
      </c>
      <c r="H9" s="22">
        <f t="shared" ref="H9:H14" si="3">SUM(B9:G9)</f>
        <v>22500</v>
      </c>
    </row>
    <row r="10" spans="1:13" x14ac:dyDescent="0.2">
      <c r="A10" s="6" t="s">
        <v>15</v>
      </c>
      <c r="B10" s="4">
        <f>B4*$B$22</f>
        <v>367625</v>
      </c>
      <c r="C10" s="4">
        <f t="shared" ref="C10:G10" si="4">C4*$B$22</f>
        <v>351250</v>
      </c>
      <c r="D10" s="4">
        <f t="shared" si="4"/>
        <v>296650</v>
      </c>
      <c r="E10" s="4">
        <f t="shared" si="4"/>
        <v>374500</v>
      </c>
      <c r="F10" s="4">
        <f t="shared" si="4"/>
        <v>275725</v>
      </c>
      <c r="G10" s="4">
        <f t="shared" si="4"/>
        <v>286325</v>
      </c>
      <c r="H10" s="4">
        <f t="shared" si="3"/>
        <v>1952075</v>
      </c>
    </row>
    <row r="11" spans="1:13" x14ac:dyDescent="0.2">
      <c r="A11" s="6" t="s">
        <v>16</v>
      </c>
      <c r="B11" s="4">
        <f>B4*$B$23</f>
        <v>147050</v>
      </c>
      <c r="C11" s="4">
        <f t="shared" ref="C11:G11" si="5">C4*$B$23</f>
        <v>140500</v>
      </c>
      <c r="D11" s="4">
        <f t="shared" si="5"/>
        <v>118660</v>
      </c>
      <c r="E11" s="4">
        <f t="shared" si="5"/>
        <v>149800</v>
      </c>
      <c r="F11" s="4">
        <f t="shared" si="5"/>
        <v>110290</v>
      </c>
      <c r="G11" s="4">
        <f t="shared" si="5"/>
        <v>114530</v>
      </c>
      <c r="H11" s="4">
        <f t="shared" si="3"/>
        <v>780830</v>
      </c>
    </row>
    <row r="12" spans="1:13" x14ac:dyDescent="0.2">
      <c r="A12" s="6" t="s">
        <v>17</v>
      </c>
      <c r="B12" s="4">
        <f>B4*$B$24</f>
        <v>51467.500000000007</v>
      </c>
      <c r="C12" s="4">
        <f t="shared" ref="C12:G12" si="6">C4*$B$24</f>
        <v>49175.000000000007</v>
      </c>
      <c r="D12" s="4">
        <f t="shared" si="6"/>
        <v>41531.000000000007</v>
      </c>
      <c r="E12" s="4">
        <f t="shared" si="6"/>
        <v>52430.000000000007</v>
      </c>
      <c r="F12" s="4">
        <f t="shared" si="6"/>
        <v>38601.500000000007</v>
      </c>
      <c r="G12" s="4">
        <f t="shared" si="6"/>
        <v>40085.500000000007</v>
      </c>
      <c r="H12" s="4">
        <f t="shared" si="3"/>
        <v>273290.50000000006</v>
      </c>
    </row>
    <row r="13" spans="1:13" x14ac:dyDescent="0.2">
      <c r="A13" s="6" t="s">
        <v>18</v>
      </c>
      <c r="B13" s="4">
        <f>B4*$B$25</f>
        <v>51467.500000000007</v>
      </c>
      <c r="C13" s="4">
        <f t="shared" ref="C13:G13" si="7">C4*$B$25</f>
        <v>49175.000000000007</v>
      </c>
      <c r="D13" s="4">
        <f t="shared" si="7"/>
        <v>41531.000000000007</v>
      </c>
      <c r="E13" s="4">
        <f t="shared" si="7"/>
        <v>52430.000000000007</v>
      </c>
      <c r="F13" s="4">
        <f t="shared" si="7"/>
        <v>38601.500000000007</v>
      </c>
      <c r="G13" s="4">
        <f t="shared" si="7"/>
        <v>40085.500000000007</v>
      </c>
      <c r="H13" s="4">
        <f t="shared" si="3"/>
        <v>273290.50000000006</v>
      </c>
    </row>
    <row r="14" spans="1:13" ht="17" thickBot="1" x14ac:dyDescent="0.25">
      <c r="A14" s="14" t="s">
        <v>19</v>
      </c>
      <c r="B14" s="13">
        <f>SUM(B9:B13)</f>
        <v>625110</v>
      </c>
      <c r="C14" s="13">
        <f t="shared" ref="C14:G14" si="8">SUM(C9:C13)</f>
        <v>597600</v>
      </c>
      <c r="D14" s="13">
        <f t="shared" si="8"/>
        <v>498372</v>
      </c>
      <c r="E14" s="13">
        <f t="shared" si="8"/>
        <v>636660</v>
      </c>
      <c r="F14" s="13">
        <f t="shared" si="8"/>
        <v>463218</v>
      </c>
      <c r="G14" s="13">
        <f t="shared" si="8"/>
        <v>481026</v>
      </c>
      <c r="H14" s="13">
        <f t="shared" si="3"/>
        <v>3301986</v>
      </c>
    </row>
    <row r="15" spans="1:13" ht="17" thickTop="1" x14ac:dyDescent="0.2"/>
    <row r="16" spans="1:13" x14ac:dyDescent="0.2">
      <c r="A16" s="15" t="s">
        <v>20</v>
      </c>
      <c r="B16" s="16">
        <f>B6-B14</f>
        <v>569671.25</v>
      </c>
      <c r="C16" s="16">
        <f t="shared" ref="C16:G16" si="9">C6-C14</f>
        <v>543962.5</v>
      </c>
      <c r="D16" s="16">
        <f t="shared" si="9"/>
        <v>465740.5</v>
      </c>
      <c r="E16" s="16">
        <f t="shared" si="9"/>
        <v>580465</v>
      </c>
      <c r="F16" s="16">
        <f t="shared" si="9"/>
        <v>432888.25</v>
      </c>
      <c r="G16" s="16">
        <f t="shared" si="9"/>
        <v>449530.25</v>
      </c>
      <c r="H16" s="16">
        <f>SUM(B16:G16)</f>
        <v>3042257.75</v>
      </c>
    </row>
    <row r="18" spans="1:4" x14ac:dyDescent="0.2">
      <c r="A18" s="20" t="s">
        <v>21</v>
      </c>
      <c r="B18" s="21"/>
      <c r="D18" s="3"/>
    </row>
    <row r="19" spans="1:4" x14ac:dyDescent="0.2">
      <c r="A19" s="17" t="s">
        <v>23</v>
      </c>
      <c r="B19" s="18">
        <v>0.8125</v>
      </c>
    </row>
    <row r="20" spans="1:4" x14ac:dyDescent="0.2">
      <c r="A20" s="17" t="s">
        <v>14</v>
      </c>
      <c r="B20" s="19">
        <v>7500</v>
      </c>
    </row>
    <row r="21" spans="1:4" x14ac:dyDescent="0.2">
      <c r="A21" s="17" t="s">
        <v>22</v>
      </c>
      <c r="B21" s="19">
        <v>1250000</v>
      </c>
    </row>
    <row r="22" spans="1:4" x14ac:dyDescent="0.2">
      <c r="A22" s="17" t="s">
        <v>15</v>
      </c>
      <c r="B22" s="18">
        <v>0.25</v>
      </c>
    </row>
    <row r="23" spans="1:4" x14ac:dyDescent="0.2">
      <c r="A23" s="17" t="s">
        <v>16</v>
      </c>
      <c r="B23" s="18">
        <v>0.1</v>
      </c>
    </row>
    <row r="24" spans="1:4" x14ac:dyDescent="0.2">
      <c r="A24" s="17" t="s">
        <v>17</v>
      </c>
      <c r="B24" s="18">
        <v>3.5000000000000003E-2</v>
      </c>
    </row>
    <row r="25" spans="1:4" x14ac:dyDescent="0.2">
      <c r="A25" s="17" t="s">
        <v>18</v>
      </c>
      <c r="B25" s="18">
        <v>3.5000000000000003E-2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60F7F52-1BC0-1C4D-ADE9-3AF3BC0DDCEE}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'Six-Month Financial Projection'!B4:G4</xm:f>
              <xm:sqref>I4</xm:sqref>
            </x14:sparkline>
            <x14:sparkline>
              <xm:f>'Six-Month Financial Projection'!B5:G5</xm:f>
              <xm:sqref>I5</xm:sqref>
            </x14:sparkline>
            <x14:sparkline>
              <xm:f>'Six-Month Financial Projection'!B6:G6</xm:f>
              <xm:sqref>I6</xm:sqref>
            </x14:sparkline>
            <x14:sparkline>
              <xm:f>'Six-Month Financial Projection'!B7:G7</xm:f>
              <xm:sqref>I7</xm:sqref>
            </x14:sparkline>
            <x14:sparkline>
              <xm:f>'Six-Month Financial Projection'!B8:G8</xm:f>
              <xm:sqref>I8</xm:sqref>
            </x14:sparkline>
            <x14:sparkline>
              <xm:f>'Six-Month Financial Projection'!B9:G9</xm:f>
              <xm:sqref>I9</xm:sqref>
            </x14:sparkline>
            <x14:sparkline>
              <xm:f>'Six-Month Financial Projection'!B10:G10</xm:f>
              <xm:sqref>I10</xm:sqref>
            </x14:sparkline>
            <x14:sparkline>
              <xm:f>'Six-Month Financial Projection'!B11:G11</xm:f>
              <xm:sqref>I11</xm:sqref>
            </x14:sparkline>
            <x14:sparkline>
              <xm:f>'Six-Month Financial Projection'!B12:G12</xm:f>
              <xm:sqref>I12</xm:sqref>
            </x14:sparkline>
            <x14:sparkline>
              <xm:f>'Six-Month Financial Projection'!B13:G13</xm:f>
              <xm:sqref>I13</xm:sqref>
            </x14:sparkline>
            <x14:sparkline>
              <xm:f>'Six-Month Financial Projection'!B14:G14</xm:f>
              <xm:sqref>I14</xm:sqref>
            </x14:sparkline>
            <x14:sparkline>
              <xm:f>'Six-Month Financial Projection'!B15:G15</xm:f>
              <xm:sqref>I15</xm:sqref>
            </x14:sparkline>
            <x14:sparkline>
              <xm:f>'Six-Month Financial Projection'!B16:G16</xm:f>
              <xm:sqref>I16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Six-Month Financial Projection</vt:lpstr>
      <vt:lpstr>Expense 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2025-01-29T23:40:11Z</dcterms:created>
  <dcterms:modified xsi:type="dcterms:W3CDTF">2025-02-02T18:31:31Z</dcterms:modified>
</cp:coreProperties>
</file>