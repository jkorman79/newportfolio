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korman/Desktop/Class Documents/MIS 500/Homeworks/Homework #2/"/>
    </mc:Choice>
  </mc:AlternateContent>
  <xr:revisionPtr revIDLastSave="0" documentId="13_ncr:1_{864CBCD8-4E9E-8240-8D0F-230C01888427}" xr6:coauthVersionLast="47" xr6:coauthVersionMax="47" xr10:uidLastSave="{00000000-0000-0000-0000-000000000000}"/>
  <bookViews>
    <workbookView xWindow="0" yWindow="760" windowWidth="30240" windowHeight="17400" xr2:uid="{CA2DAEAA-A83C-5C4B-8B7A-68AD8FB260B8}"/>
  </bookViews>
  <sheets>
    <sheet name="Consolidated" sheetId="1" r:id="rId1"/>
    <sheet name="Lady Lobter" sheetId="2" r:id="rId2"/>
    <sheet name="Henry Haddock" sheetId="3" r:id="rId3"/>
    <sheet name="Sharon Shrim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2" i="1"/>
  <c r="B11" i="1"/>
  <c r="B10" i="1"/>
  <c r="B9" i="1"/>
  <c r="B8" i="1"/>
  <c r="B7" i="1"/>
  <c r="B5" i="1"/>
  <c r="D8" i="3"/>
  <c r="B13" i="5"/>
  <c r="G12" i="5"/>
  <c r="D12" i="5"/>
  <c r="F12" i="5" s="1"/>
  <c r="G11" i="5"/>
  <c r="D11" i="5"/>
  <c r="F11" i="5" s="1"/>
  <c r="G10" i="5"/>
  <c r="D10" i="5"/>
  <c r="F10" i="5" s="1"/>
  <c r="G9" i="5"/>
  <c r="D9" i="5"/>
  <c r="F9" i="5" s="1"/>
  <c r="G8" i="5"/>
  <c r="D8" i="5"/>
  <c r="F8" i="5" s="1"/>
  <c r="G7" i="5"/>
  <c r="D7" i="5"/>
  <c r="F7" i="5" s="1"/>
  <c r="G6" i="5"/>
  <c r="D6" i="5"/>
  <c r="F6" i="5" s="1"/>
  <c r="G5" i="5"/>
  <c r="D5" i="5"/>
  <c r="G3" i="5"/>
  <c r="G3" i="3"/>
  <c r="D5" i="3"/>
  <c r="F5" i="3" s="1"/>
  <c r="G5" i="3"/>
  <c r="D6" i="3"/>
  <c r="G6" i="3"/>
  <c r="D7" i="3"/>
  <c r="F7" i="3" s="1"/>
  <c r="G7" i="3"/>
  <c r="F8" i="3"/>
  <c r="G8" i="3"/>
  <c r="D9" i="3"/>
  <c r="F9" i="3"/>
  <c r="G9" i="3"/>
  <c r="D10" i="3"/>
  <c r="F10" i="3" s="1"/>
  <c r="G10" i="3"/>
  <c r="D11" i="3"/>
  <c r="F11" i="3"/>
  <c r="G11" i="3"/>
  <c r="D12" i="3"/>
  <c r="F12" i="3" s="1"/>
  <c r="G12" i="3"/>
  <c r="B13" i="3"/>
  <c r="B13" i="2"/>
  <c r="G12" i="2"/>
  <c r="D12" i="2"/>
  <c r="F12" i="2" s="1"/>
  <c r="G11" i="2"/>
  <c r="D11" i="2"/>
  <c r="F11" i="2" s="1"/>
  <c r="G10" i="2"/>
  <c r="D10" i="2"/>
  <c r="F10" i="2" s="1"/>
  <c r="G9" i="2"/>
  <c r="D9" i="2"/>
  <c r="F9" i="2" s="1"/>
  <c r="G8" i="2"/>
  <c r="D8" i="2"/>
  <c r="F8" i="2" s="1"/>
  <c r="G7" i="2"/>
  <c r="D7" i="2"/>
  <c r="F7" i="2" s="1"/>
  <c r="G6" i="2"/>
  <c r="D6" i="2"/>
  <c r="F6" i="2" s="1"/>
  <c r="G5" i="2"/>
  <c r="D5" i="2"/>
  <c r="G3" i="2"/>
  <c r="G3" i="1"/>
  <c r="G6" i="1"/>
  <c r="G7" i="1"/>
  <c r="G8" i="1"/>
  <c r="G9" i="1"/>
  <c r="G10" i="1"/>
  <c r="G11" i="1"/>
  <c r="G12" i="1"/>
  <c r="G5" i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3" l="1"/>
  <c r="D13" i="2"/>
  <c r="D13" i="5"/>
  <c r="F6" i="3"/>
  <c r="F13" i="3" s="1"/>
  <c r="F5" i="5"/>
  <c r="F13" i="5" s="1"/>
  <c r="F5" i="2"/>
  <c r="F13" i="2" s="1"/>
  <c r="D5" i="1"/>
  <c r="D13" i="1" s="1"/>
  <c r="B13" i="1"/>
  <c r="F5" i="1" l="1"/>
  <c r="F13" i="1" s="1"/>
</calcChain>
</file>

<file path=xl/sharedStrings.xml><?xml version="1.0" encoding="utf-8"?>
<sst xmlns="http://schemas.openxmlformats.org/spreadsheetml/2006/main" count="56" uniqueCount="17">
  <si>
    <t>M&amp;S Provisions</t>
  </si>
  <si>
    <t>Consolidated Expenses Worksheet</t>
  </si>
  <si>
    <t>Expense category</t>
  </si>
  <si>
    <t>Payroll</t>
  </si>
  <si>
    <t>Benefits</t>
  </si>
  <si>
    <t>Fuel</t>
  </si>
  <si>
    <t>Storage</t>
  </si>
  <si>
    <t>Event Fees</t>
  </si>
  <si>
    <t>Maintenance</t>
  </si>
  <si>
    <t>Advertising</t>
  </si>
  <si>
    <t>Administrative</t>
  </si>
  <si>
    <t>2021 Projected 
% Change</t>
  </si>
  <si>
    <t>2022 Projected 
% Change</t>
  </si>
  <si>
    <t>Average
 % Changed</t>
  </si>
  <si>
    <t>Lady Lobster Expenses Worksheet</t>
  </si>
  <si>
    <t>Henry Haddock Expenses Worksheet</t>
  </si>
  <si>
    <t>Sharon Shrimp Expenses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</si>
</sst>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[$-409]d\-mmm\-yyyy;@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20"/>
      <color theme="5" tint="0.39997558519241921"/>
      <name val="Aptos Display"/>
      <family val="2"/>
      <scheme val="major"/>
    </font>
    <font>
      <sz val="16"/>
      <color theme="5" tint="0.3999755851924192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0"/>
      <name val="Aptos Display"/>
      <family val="2"/>
      <scheme val="major"/>
    </font>
    <font>
      <sz val="16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>
      <alignment horizontal="center"/>
      <protection locked="0"/>
    </xf>
    <xf numFmtId="0" fontId="5" fillId="0" borderId="1" applyNumberFormat="0" applyFill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8" fontId="0" fillId="0" borderId="0" xfId="0" applyNumberFormat="1"/>
    <xf numFmtId="43" fontId="0" fillId="0" borderId="0" xfId="1" applyFont="1"/>
    <xf numFmtId="164" fontId="1" fillId="0" borderId="0" xfId="3">
      <alignment horizontal="center"/>
      <protection locked="0"/>
    </xf>
    <xf numFmtId="0" fontId="5" fillId="0" borderId="1" xfId="4"/>
    <xf numFmtId="8" fontId="5" fillId="0" borderId="1" xfId="4" applyNumberFormat="1"/>
    <xf numFmtId="0" fontId="8" fillId="0" borderId="0" xfId="0" applyFont="1"/>
    <xf numFmtId="0" fontId="8" fillId="0" borderId="0" xfId="0" applyFont="1" applyAlignment="1">
      <alignment wrapText="1"/>
    </xf>
    <xf numFmtId="0" fontId="3" fillId="2" borderId="0" xfId="2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3" borderId="0" xfId="2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4" borderId="0" xfId="2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6" fillId="5" borderId="0" xfId="2" applyFont="1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5">
    <cellStyle name="4-Digit Year" xfId="3" xr:uid="{1F3C9B6C-4ECC-F244-834A-82A9D8E983B9}"/>
    <cellStyle name="Comma" xfId="1" builtinId="3"/>
    <cellStyle name="Normal" xfId="0" builtinId="0"/>
    <cellStyle name="Title" xfId="2" builtinId="15"/>
    <cellStyle name="Total" xfId="4" builtinId="25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 Consolidated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25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27A6-7342-BF20-0B42450B92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7A6-7342-BF20-0B42450B923D}"/>
              </c:ext>
            </c:extLst>
          </c:dPt>
          <c:dPt>
            <c:idx val="2"/>
            <c:bubble3D val="0"/>
            <c:explosion val="15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7A6-7342-BF20-0B42450B92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27A6-7342-BF20-0B42450B92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7A6-7342-BF20-0B42450B92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27A6-7342-BF20-0B42450B92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7A6-7342-BF20-0B42450B92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27A6-7342-BF20-0B42450B923D}"/>
              </c:ext>
            </c:extLst>
          </c:dPt>
          <c:dLbls>
            <c:dLbl>
              <c:idx val="0"/>
              <c:layout>
                <c:manualLayout>
                  <c:x val="-5.9377819390681319E-2"/>
                  <c:y val="-4.19167622216654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A6-7342-BF20-0B42450B923D}"/>
                </c:ext>
              </c:extLst>
            </c:dLbl>
            <c:dLbl>
              <c:idx val="1"/>
              <c:layout>
                <c:manualLayout>
                  <c:x val="6.8954887034339454E-2"/>
                  <c:y val="-0.118764159628052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A6-7342-BF20-0B42450B923D}"/>
                </c:ext>
              </c:extLst>
            </c:dLbl>
            <c:dLbl>
              <c:idx val="2"/>
              <c:layout>
                <c:manualLayout>
                  <c:x val="0.11300939819516767"/>
                  <c:y val="-1.3972254073888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A6-7342-BF20-0B42450B923D}"/>
                </c:ext>
              </c:extLst>
            </c:dLbl>
            <c:dLbl>
              <c:idx val="3"/>
              <c:layout>
                <c:manualLayout>
                  <c:x val="1.9154135287316554E-3"/>
                  <c:y val="6.63682068509702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A6-7342-BF20-0B42450B923D}"/>
                </c:ext>
              </c:extLst>
            </c:dLbl>
            <c:dLbl>
              <c:idx val="4"/>
              <c:layout>
                <c:manualLayout>
                  <c:x val="-4.9800751747023038E-2"/>
                  <c:y val="8.732658796180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A6-7342-BF20-0B42450B923D}"/>
                </c:ext>
              </c:extLst>
            </c:dLbl>
            <c:dLbl>
              <c:idx val="5"/>
              <c:layout>
                <c:manualLayout>
                  <c:x val="-0.12833270642502093"/>
                  <c:y val="9.081965148027493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A6-7342-BF20-0B42450B923D}"/>
                </c:ext>
              </c:extLst>
            </c:dLbl>
            <c:dLbl>
              <c:idx val="6"/>
              <c:layout>
                <c:manualLayout>
                  <c:x val="-0.14748684171233747"/>
                  <c:y val="1.7465317592360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A6-7342-BF20-0B42450B923D}"/>
                </c:ext>
              </c:extLst>
            </c:dLbl>
            <c:dLbl>
              <c:idx val="7"/>
              <c:layout>
                <c:manualLayout>
                  <c:x val="-0.10534774408024104"/>
                  <c:y val="-5.5889016295553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7A6-7342-BF20-0B42450B923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Consolidated!$A$5:$A$12</c:f>
              <c:strCache>
                <c:ptCount val="8"/>
                <c:pt idx="0">
                  <c:v>Payroll</c:v>
                </c:pt>
                <c:pt idx="1">
                  <c:v>Benefits</c:v>
                </c:pt>
                <c:pt idx="2">
                  <c:v>Fuel</c:v>
                </c:pt>
                <c:pt idx="3">
                  <c:v>Storage</c:v>
                </c:pt>
                <c:pt idx="4">
                  <c:v>Event Fees</c:v>
                </c:pt>
                <c:pt idx="5">
                  <c:v>Maintenance</c:v>
                </c:pt>
                <c:pt idx="6">
                  <c:v>Advertising</c:v>
                </c:pt>
                <c:pt idx="7">
                  <c:v>Administrative</c:v>
                </c:pt>
              </c:strCache>
            </c:strRef>
          </c:cat>
          <c:val>
            <c:numRef>
              <c:f>Consolidated!$B$5:$B$12</c:f>
              <c:numCache>
                <c:formatCode>_(* #,##0.00_);_(* \(#,##0.00\);_(* "-"??_);_(@_)</c:formatCode>
                <c:ptCount val="8"/>
                <c:pt idx="0" formatCode="&quot;$&quot;#,##0.00_);[Red]\(&quot;$&quot;#,##0.00\)">
                  <c:v>220789.88</c:v>
                </c:pt>
                <c:pt idx="1">
                  <c:v>46352.06</c:v>
                </c:pt>
                <c:pt idx="2">
                  <c:v>57500</c:v>
                </c:pt>
                <c:pt idx="3">
                  <c:v>40176</c:v>
                </c:pt>
                <c:pt idx="4">
                  <c:v>18700</c:v>
                </c:pt>
                <c:pt idx="5">
                  <c:v>13057.399999999998</c:v>
                </c:pt>
                <c:pt idx="6">
                  <c:v>10942.91</c:v>
                </c:pt>
                <c:pt idx="7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6-7342-BF20-0B42450B923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14</xdr:row>
      <xdr:rowOff>6350</xdr:rowOff>
    </xdr:from>
    <xdr:to>
      <xdr:col>5</xdr:col>
      <xdr:colOff>839368</xdr:colOff>
      <xdr:row>31</xdr:row>
      <xdr:rowOff>167874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7B588-F455-EBC2-7166-B78F43627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65CF-60C3-7B40-8BA0-23C6E44ADFE6}">
  <sheetPr>
    <tabColor theme="3"/>
  </sheetPr>
  <dimension ref="A1:G13"/>
  <sheetViews>
    <sheetView tabSelected="1" zoomScale="120" zoomScaleNormal="120" workbookViewId="0">
      <selection activeCell="G19" sqref="G19"/>
    </sheetView>
  </sheetViews>
  <sheetFormatPr baseColWidth="10" defaultRowHeight="16" x14ac:dyDescent="0.2"/>
  <cols>
    <col min="1" max="1" width="21.33203125" customWidth="1"/>
    <col min="2" max="7" width="14.33203125" customWidth="1"/>
  </cols>
  <sheetData>
    <row r="1" spans="1:7" ht="25" x14ac:dyDescent="0.3">
      <c r="A1" s="10" t="s">
        <v>0</v>
      </c>
      <c r="B1" s="10"/>
      <c r="C1" s="10"/>
      <c r="D1" s="10"/>
      <c r="E1" s="10"/>
      <c r="F1" s="10"/>
      <c r="G1" s="10"/>
    </row>
    <row r="2" spans="1:7" ht="22" x14ac:dyDescent="0.3">
      <c r="A2" s="11" t="s">
        <v>1</v>
      </c>
      <c r="B2" s="11"/>
      <c r="C2" s="11"/>
      <c r="D2" s="11"/>
      <c r="E2" s="11"/>
      <c r="F2" s="11"/>
      <c r="G2" s="11"/>
    </row>
    <row r="3" spans="1:7" x14ac:dyDescent="0.2">
      <c r="G3" s="5">
        <f ca="1">TODAY()</f>
        <v>45701</v>
      </c>
    </row>
    <row r="4" spans="1:7" ht="52" customHeight="1" x14ac:dyDescent="0.2">
      <c r="A4" s="16" t="s">
        <v>2</v>
      </c>
      <c r="B4" s="17">
        <v>2020</v>
      </c>
      <c r="C4" s="18" t="s">
        <v>11</v>
      </c>
      <c r="D4" s="17">
        <v>2021</v>
      </c>
      <c r="E4" s="18" t="s">
        <v>12</v>
      </c>
      <c r="F4" s="17">
        <v>2022</v>
      </c>
      <c r="G4" s="18" t="s">
        <v>13</v>
      </c>
    </row>
    <row r="5" spans="1:7" x14ac:dyDescent="0.2">
      <c r="A5" t="s">
        <v>3</v>
      </c>
      <c r="B5" s="3">
        <f>SUM('Lady Lobter:Sharon Shrimp'!B5)</f>
        <v>220789.88</v>
      </c>
      <c r="C5" s="2">
        <v>2.5000000000000001E-2</v>
      </c>
      <c r="D5" s="3">
        <f>ROUND(B5+B5*C5,2)</f>
        <v>226309.63</v>
      </c>
      <c r="E5" s="2">
        <v>2.5000000000000001E-2</v>
      </c>
      <c r="F5" s="3">
        <f>ROUND(D5+D5*E5,2)</f>
        <v>231967.37</v>
      </c>
      <c r="G5" s="2">
        <f>ROUND((C5+E5)/2,4)</f>
        <v>2.5000000000000001E-2</v>
      </c>
    </row>
    <row r="6" spans="1:7" x14ac:dyDescent="0.2">
      <c r="A6" t="s">
        <v>4</v>
      </c>
      <c r="B6" s="4">
        <f>SUM('Lady Lobter:Sharon Shrimp'!B6)</f>
        <v>46352.06</v>
      </c>
      <c r="C6" s="2">
        <v>0.02</v>
      </c>
      <c r="D6" s="4">
        <f t="shared" ref="D6:D12" si="0">ROUND(B6+B6*C6,2)</f>
        <v>47279.1</v>
      </c>
      <c r="E6" s="2">
        <v>0.03</v>
      </c>
      <c r="F6" s="4">
        <f t="shared" ref="F6:F12" si="1">ROUND(D6+D6*E6,2)</f>
        <v>48697.47</v>
      </c>
      <c r="G6" s="2">
        <f t="shared" ref="G6:G12" si="2">ROUND((C6+E6)/2,4)</f>
        <v>2.5000000000000001E-2</v>
      </c>
    </row>
    <row r="7" spans="1:7" x14ac:dyDescent="0.2">
      <c r="A7" t="s">
        <v>5</v>
      </c>
      <c r="B7" s="4">
        <f>SUM('Lady Lobter:Sharon Shrimp'!B7)</f>
        <v>57500</v>
      </c>
      <c r="C7" s="2">
        <v>0.02</v>
      </c>
      <c r="D7" s="4">
        <f t="shared" si="0"/>
        <v>58650</v>
      </c>
      <c r="E7" s="2">
        <v>0.03</v>
      </c>
      <c r="F7" s="4">
        <f t="shared" si="1"/>
        <v>60409.5</v>
      </c>
      <c r="G7" s="2">
        <f t="shared" si="2"/>
        <v>2.5000000000000001E-2</v>
      </c>
    </row>
    <row r="8" spans="1:7" x14ac:dyDescent="0.2">
      <c r="A8" t="s">
        <v>6</v>
      </c>
      <c r="B8" s="4">
        <f>SUM('Lady Lobter:Sharon Shrimp'!B8)</f>
        <v>40176</v>
      </c>
      <c r="C8" s="2">
        <v>0.01</v>
      </c>
      <c r="D8" s="4">
        <f t="shared" si="0"/>
        <v>40577.760000000002</v>
      </c>
      <c r="E8" s="2">
        <v>0.01</v>
      </c>
      <c r="F8" s="4">
        <f t="shared" si="1"/>
        <v>40983.54</v>
      </c>
      <c r="G8" s="2">
        <f t="shared" si="2"/>
        <v>0.01</v>
      </c>
    </row>
    <row r="9" spans="1:7" x14ac:dyDescent="0.2">
      <c r="A9" t="s">
        <v>7</v>
      </c>
      <c r="B9" s="4">
        <f>SUM('Lady Lobter:Sharon Shrimp'!B9)</f>
        <v>18700</v>
      </c>
      <c r="C9" s="2">
        <v>0.01</v>
      </c>
      <c r="D9" s="4">
        <f t="shared" si="0"/>
        <v>18887</v>
      </c>
      <c r="E9" s="2">
        <v>0.01</v>
      </c>
      <c r="F9" s="4">
        <f t="shared" si="1"/>
        <v>19075.87</v>
      </c>
      <c r="G9" s="2">
        <f t="shared" si="2"/>
        <v>0.01</v>
      </c>
    </row>
    <row r="10" spans="1:7" x14ac:dyDescent="0.2">
      <c r="A10" t="s">
        <v>8</v>
      </c>
      <c r="B10" s="4">
        <f>SUM('Lady Lobter:Sharon Shrimp'!B10)</f>
        <v>13057.399999999998</v>
      </c>
      <c r="C10" s="2">
        <v>0.01</v>
      </c>
      <c r="D10" s="4">
        <f t="shared" si="0"/>
        <v>13187.97</v>
      </c>
      <c r="E10" s="2">
        <v>0.02</v>
      </c>
      <c r="F10" s="4">
        <f t="shared" si="1"/>
        <v>13451.73</v>
      </c>
      <c r="G10" s="2">
        <f t="shared" si="2"/>
        <v>1.4999999999999999E-2</v>
      </c>
    </row>
    <row r="11" spans="1:7" x14ac:dyDescent="0.2">
      <c r="A11" t="s">
        <v>9</v>
      </c>
      <c r="B11" s="4">
        <f>SUM('Lady Lobter:Sharon Shrimp'!B11)</f>
        <v>10942.91</v>
      </c>
      <c r="C11" s="2">
        <v>-0.01</v>
      </c>
      <c r="D11" s="4">
        <f t="shared" si="0"/>
        <v>10833.48</v>
      </c>
      <c r="E11" s="2">
        <v>-0.01</v>
      </c>
      <c r="F11" s="4">
        <f t="shared" si="1"/>
        <v>10725.15</v>
      </c>
      <c r="G11" s="2">
        <f t="shared" si="2"/>
        <v>-0.01</v>
      </c>
    </row>
    <row r="12" spans="1:7" x14ac:dyDescent="0.2">
      <c r="A12" t="s">
        <v>10</v>
      </c>
      <c r="B12" s="4">
        <f>SUM('Lady Lobter:Sharon Shrimp'!B12)</f>
        <v>7500</v>
      </c>
      <c r="C12" s="2">
        <v>-0.02</v>
      </c>
      <c r="D12" s="4">
        <f t="shared" si="0"/>
        <v>7350</v>
      </c>
      <c r="E12" s="2">
        <v>-2.2499999999999999E-2</v>
      </c>
      <c r="F12" s="4">
        <f t="shared" si="1"/>
        <v>7184.63</v>
      </c>
      <c r="G12" s="2">
        <f t="shared" si="2"/>
        <v>-2.1299999999999999E-2</v>
      </c>
    </row>
    <row r="13" spans="1:7" x14ac:dyDescent="0.2">
      <c r="B13" s="3">
        <f>SUM(B5:B12)</f>
        <v>415018.25</v>
      </c>
      <c r="D13" s="3">
        <f>SUM(D5:D12)</f>
        <v>423074.93999999994</v>
      </c>
      <c r="F13" s="3">
        <f>SUM(F5:F12)</f>
        <v>432495.25999999995</v>
      </c>
    </row>
  </sheetData>
  <mergeCells count="2">
    <mergeCell ref="A1:G1"/>
    <mergeCell ref="A2:G2"/>
  </mergeCells>
  <conditionalFormatting sqref="C5:C12 E5:E12 G5:G12">
    <cfRule type="cellIs" dxfId="2" priority="1" operator="lessThan">
      <formula>0</formula>
    </cfRule>
  </conditionalFormatting>
  <printOptions horizontalCentered="1"/>
  <pageMargins left="0.5" right="0.5" top="0.75" bottom="0.75" header="0.3" footer="0.3"/>
  <pageSetup orientation="landscape" horizontalDpi="0" verticalDpi="0"/>
  <headerFooter>
    <oddHeader>&amp;LJoseph Korman&amp;CExpense Worksheet&amp;R&amp;"System Font,Regular"&amp;10&amp;D</oddHeader>
    <oddFooter>&amp;C&amp;A 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4AE5-ADCC-D742-B1B9-F36D1B307979}">
  <sheetPr>
    <tabColor theme="5"/>
  </sheetPr>
  <dimension ref="A1:G14"/>
  <sheetViews>
    <sheetView tabSelected="1" zoomScale="120" zoomScaleNormal="120" workbookViewId="0">
      <selection activeCell="G19" sqref="G19"/>
    </sheetView>
  </sheetViews>
  <sheetFormatPr baseColWidth="10" defaultRowHeight="16" x14ac:dyDescent="0.2"/>
  <cols>
    <col min="1" max="1" width="21.33203125" customWidth="1"/>
    <col min="2" max="7" width="14.33203125" customWidth="1"/>
  </cols>
  <sheetData>
    <row r="1" spans="1:7" ht="25" x14ac:dyDescent="0.3">
      <c r="A1" s="12" t="s">
        <v>0</v>
      </c>
      <c r="B1" s="12"/>
      <c r="C1" s="12"/>
      <c r="D1" s="12"/>
      <c r="E1" s="12"/>
      <c r="F1" s="12"/>
      <c r="G1" s="12"/>
    </row>
    <row r="2" spans="1:7" ht="22" x14ac:dyDescent="0.3">
      <c r="A2" s="13" t="s">
        <v>14</v>
      </c>
      <c r="B2" s="13"/>
      <c r="C2" s="13"/>
      <c r="D2" s="13"/>
      <c r="E2" s="13"/>
      <c r="F2" s="13"/>
      <c r="G2" s="13"/>
    </row>
    <row r="3" spans="1:7" x14ac:dyDescent="0.2">
      <c r="G3" s="5">
        <f ca="1">TODAY()</f>
        <v>45701</v>
      </c>
    </row>
    <row r="4" spans="1:7" ht="52" customHeight="1" x14ac:dyDescent="0.2">
      <c r="A4" s="8" t="s">
        <v>2</v>
      </c>
      <c r="B4" s="8">
        <v>2020</v>
      </c>
      <c r="C4" s="9" t="s">
        <v>11</v>
      </c>
      <c r="D4" s="8">
        <v>2021</v>
      </c>
      <c r="E4" s="9" t="s">
        <v>12</v>
      </c>
      <c r="F4" s="8">
        <v>2022</v>
      </c>
      <c r="G4" s="9" t="s">
        <v>13</v>
      </c>
    </row>
    <row r="5" spans="1:7" x14ac:dyDescent="0.2">
      <c r="A5" t="s">
        <v>3</v>
      </c>
      <c r="B5" s="3">
        <v>79207.199999999997</v>
      </c>
      <c r="C5" s="2">
        <v>2.5000000000000001E-2</v>
      </c>
      <c r="D5" s="3">
        <f>ROUND(B5+B5*C5,2)</f>
        <v>81187.38</v>
      </c>
      <c r="E5" s="2">
        <v>2.5000000000000001E-2</v>
      </c>
      <c r="F5" s="3">
        <f>ROUND(D5+D5*E5,2)</f>
        <v>83217.06</v>
      </c>
      <c r="G5" s="2">
        <f>ROUND((C5+E5)/2,4)</f>
        <v>2.5000000000000001E-2</v>
      </c>
    </row>
    <row r="6" spans="1:7" x14ac:dyDescent="0.2">
      <c r="A6" t="s">
        <v>4</v>
      </c>
      <c r="B6" s="4">
        <v>15247.39</v>
      </c>
      <c r="C6" s="2">
        <v>0.02</v>
      </c>
      <c r="D6" s="4">
        <f t="shared" ref="D6:D12" si="0">ROUND(B6+B6*C6,2)</f>
        <v>15552.34</v>
      </c>
      <c r="E6" s="2">
        <v>0.03</v>
      </c>
      <c r="F6" s="4">
        <f t="shared" ref="F6:F12" si="1">ROUND(D6+D6*E6,2)</f>
        <v>16018.91</v>
      </c>
      <c r="G6" s="2">
        <f t="shared" ref="G6:G12" si="2">ROUND((C6+E6)/2,4)</f>
        <v>2.5000000000000001E-2</v>
      </c>
    </row>
    <row r="7" spans="1:7" x14ac:dyDescent="0.2">
      <c r="A7" t="s">
        <v>5</v>
      </c>
      <c r="B7" s="4">
        <v>20000</v>
      </c>
      <c r="C7" s="2">
        <v>0.02</v>
      </c>
      <c r="D7" s="4">
        <f t="shared" si="0"/>
        <v>20400</v>
      </c>
      <c r="E7" s="2">
        <v>0.03</v>
      </c>
      <c r="F7" s="4">
        <f t="shared" si="1"/>
        <v>21012</v>
      </c>
      <c r="G7" s="2">
        <f t="shared" si="2"/>
        <v>2.5000000000000001E-2</v>
      </c>
    </row>
    <row r="8" spans="1:7" x14ac:dyDescent="0.2">
      <c r="A8" t="s">
        <v>6</v>
      </c>
      <c r="B8" s="4">
        <v>14400</v>
      </c>
      <c r="C8" s="2">
        <v>0.01</v>
      </c>
      <c r="D8" s="4">
        <f t="shared" si="0"/>
        <v>14544</v>
      </c>
      <c r="E8" s="2">
        <v>0.01</v>
      </c>
      <c r="F8" s="4">
        <f t="shared" si="1"/>
        <v>14689.44</v>
      </c>
      <c r="G8" s="2">
        <f t="shared" si="2"/>
        <v>0.01</v>
      </c>
    </row>
    <row r="9" spans="1:7" x14ac:dyDescent="0.2">
      <c r="A9" t="s">
        <v>7</v>
      </c>
      <c r="B9" s="4">
        <v>6200</v>
      </c>
      <c r="C9" s="2">
        <v>0.01</v>
      </c>
      <c r="D9" s="4">
        <f t="shared" si="0"/>
        <v>6262</v>
      </c>
      <c r="E9" s="2">
        <v>0.01</v>
      </c>
      <c r="F9" s="4">
        <f t="shared" si="1"/>
        <v>6324.62</v>
      </c>
      <c r="G9" s="2">
        <f t="shared" si="2"/>
        <v>0.01</v>
      </c>
    </row>
    <row r="10" spans="1:7" x14ac:dyDescent="0.2">
      <c r="A10" t="s">
        <v>8</v>
      </c>
      <c r="B10" s="4">
        <v>4295.2</v>
      </c>
      <c r="C10" s="2">
        <v>0.01</v>
      </c>
      <c r="D10" s="4">
        <f t="shared" si="0"/>
        <v>4338.1499999999996</v>
      </c>
      <c r="E10" s="2">
        <v>0.02</v>
      </c>
      <c r="F10" s="4">
        <f t="shared" si="1"/>
        <v>4424.91</v>
      </c>
      <c r="G10" s="2">
        <f t="shared" si="2"/>
        <v>1.4999999999999999E-2</v>
      </c>
    </row>
    <row r="11" spans="1:7" x14ac:dyDescent="0.2">
      <c r="A11" t="s">
        <v>9</v>
      </c>
      <c r="B11" s="4">
        <v>3599.64</v>
      </c>
      <c r="C11" s="2">
        <v>-0.01</v>
      </c>
      <c r="D11" s="4">
        <f t="shared" si="0"/>
        <v>3563.64</v>
      </c>
      <c r="E11" s="2">
        <v>-0.01</v>
      </c>
      <c r="F11" s="4">
        <f t="shared" si="1"/>
        <v>3528</v>
      </c>
      <c r="G11" s="2">
        <f t="shared" si="2"/>
        <v>-0.01</v>
      </c>
    </row>
    <row r="12" spans="1:7" x14ac:dyDescent="0.2">
      <c r="A12" t="s">
        <v>10</v>
      </c>
      <c r="B12" s="4">
        <v>2500</v>
      </c>
      <c r="C12" s="2">
        <v>-0.02</v>
      </c>
      <c r="D12" s="4">
        <f t="shared" si="0"/>
        <v>2450</v>
      </c>
      <c r="E12" s="2">
        <v>-2.2499999999999999E-2</v>
      </c>
      <c r="F12" s="4">
        <f t="shared" si="1"/>
        <v>2394.88</v>
      </c>
      <c r="G12" s="2">
        <f t="shared" si="2"/>
        <v>-2.1299999999999999E-2</v>
      </c>
    </row>
    <row r="13" spans="1:7" ht="17" thickBot="1" x14ac:dyDescent="0.25">
      <c r="A13" s="6"/>
      <c r="B13" s="7">
        <f>SUM(B5:B12)</f>
        <v>145449.43000000002</v>
      </c>
      <c r="C13" s="6"/>
      <c r="D13" s="7">
        <f>SUM(D5:D12)</f>
        <v>148297.51</v>
      </c>
      <c r="E13" s="6"/>
      <c r="F13" s="7">
        <f>SUM(F5:F12)</f>
        <v>151609.82</v>
      </c>
      <c r="G13" s="6"/>
    </row>
    <row r="14" spans="1:7" ht="17" thickTop="1" x14ac:dyDescent="0.2"/>
  </sheetData>
  <mergeCells count="2">
    <mergeCell ref="A1:G1"/>
    <mergeCell ref="A2:G2"/>
  </mergeCells>
  <printOptions horizontalCentered="1"/>
  <pageMargins left="0.5" right="0.5" top="0.75" bottom="0.75" header="0.3" footer="0.3"/>
  <pageSetup orientation="landscape" horizontalDpi="0" verticalDpi="0"/>
  <headerFooter>
    <oddHeader>&amp;LJoseph Korman&amp;CExpense Worksheet&amp;R&amp;"System Font,Regular"&amp;10&amp;D</oddHeader>
    <oddFooter>&amp;C&amp;A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35E0-13C5-B249-9975-DDB2D1575BD1}">
  <sheetPr>
    <tabColor theme="4" tint="0.39997558519241921"/>
  </sheetPr>
  <dimension ref="A1:G13"/>
  <sheetViews>
    <sheetView tabSelected="1" zoomScale="120" zoomScaleNormal="120" workbookViewId="0">
      <selection activeCell="G19" sqref="G19"/>
    </sheetView>
  </sheetViews>
  <sheetFormatPr baseColWidth="10" defaultRowHeight="16" x14ac:dyDescent="0.2"/>
  <cols>
    <col min="1" max="1" width="21.33203125" customWidth="1"/>
    <col min="2" max="7" width="14.33203125" customWidth="1"/>
  </cols>
  <sheetData>
    <row r="1" spans="1:7" ht="25" x14ac:dyDescent="0.3">
      <c r="A1" s="14" t="s">
        <v>0</v>
      </c>
      <c r="B1" s="14"/>
      <c r="C1" s="14"/>
      <c r="D1" s="14"/>
      <c r="E1" s="14"/>
      <c r="F1" s="14"/>
      <c r="G1" s="14"/>
    </row>
    <row r="2" spans="1:7" ht="22" x14ac:dyDescent="0.3">
      <c r="A2" s="15" t="s">
        <v>15</v>
      </c>
      <c r="B2" s="15"/>
      <c r="C2" s="15"/>
      <c r="D2" s="15"/>
      <c r="E2" s="15"/>
      <c r="F2" s="15"/>
      <c r="G2" s="15"/>
    </row>
    <row r="3" spans="1:7" x14ac:dyDescent="0.2">
      <c r="G3" s="5">
        <f ca="1">TODAY()</f>
        <v>45701</v>
      </c>
    </row>
    <row r="4" spans="1:7" ht="52" customHeight="1" x14ac:dyDescent="0.2">
      <c r="A4" t="s">
        <v>2</v>
      </c>
      <c r="B4">
        <v>2020</v>
      </c>
      <c r="C4" s="1" t="s">
        <v>11</v>
      </c>
      <c r="D4">
        <v>2021</v>
      </c>
      <c r="E4" s="1" t="s">
        <v>12</v>
      </c>
      <c r="F4">
        <v>2022</v>
      </c>
      <c r="G4" s="1" t="s">
        <v>13</v>
      </c>
    </row>
    <row r="5" spans="1:7" x14ac:dyDescent="0.2">
      <c r="A5" t="s">
        <v>3</v>
      </c>
      <c r="B5" s="3">
        <v>72870.62</v>
      </c>
      <c r="C5" s="2">
        <v>2.5000000000000001E-2</v>
      </c>
      <c r="D5" s="3">
        <f>ROUND(B5+B5*C5,2)</f>
        <v>74692.39</v>
      </c>
      <c r="E5" s="2">
        <v>2.5000000000000001E-2</v>
      </c>
      <c r="F5" s="3">
        <f>ROUND(D5+D5*E5,2)</f>
        <v>76559.7</v>
      </c>
      <c r="G5" s="2">
        <f>ROUND((C5+E5)/2,4)</f>
        <v>2.5000000000000001E-2</v>
      </c>
    </row>
    <row r="6" spans="1:7" x14ac:dyDescent="0.2">
      <c r="A6" t="s">
        <v>4</v>
      </c>
      <c r="B6" s="4">
        <v>14027.6</v>
      </c>
      <c r="C6" s="2">
        <v>0.02</v>
      </c>
      <c r="D6" s="4">
        <f t="shared" ref="D6:D12" si="0">ROUND(B6+B6*C6,2)</f>
        <v>14308.15</v>
      </c>
      <c r="E6" s="2">
        <v>0.03</v>
      </c>
      <c r="F6" s="4">
        <f t="shared" ref="F6:F12" si="1">ROUND(D6+D6*E6,2)</f>
        <v>14737.39</v>
      </c>
      <c r="G6" s="2">
        <f t="shared" ref="G6:G12" si="2">ROUND((C6+E6)/2,4)</f>
        <v>2.5000000000000001E-2</v>
      </c>
    </row>
    <row r="7" spans="1:7" x14ac:dyDescent="0.2">
      <c r="A7" t="s">
        <v>5</v>
      </c>
      <c r="B7" s="4">
        <v>19000</v>
      </c>
      <c r="C7" s="2">
        <v>0.02</v>
      </c>
      <c r="D7" s="4">
        <f t="shared" si="0"/>
        <v>19380</v>
      </c>
      <c r="E7" s="2">
        <v>0.03</v>
      </c>
      <c r="F7" s="4">
        <f t="shared" si="1"/>
        <v>19961.400000000001</v>
      </c>
      <c r="G7" s="2">
        <f t="shared" si="2"/>
        <v>2.5000000000000001E-2</v>
      </c>
    </row>
    <row r="8" spans="1:7" x14ac:dyDescent="0.2">
      <c r="A8" t="s">
        <v>6</v>
      </c>
      <c r="B8" s="4">
        <v>13248</v>
      </c>
      <c r="C8" s="2">
        <v>0.01</v>
      </c>
      <c r="D8" s="4">
        <f>ROUND(B8+B8*C8,2)</f>
        <v>13380.48</v>
      </c>
      <c r="E8" s="2">
        <v>0.01</v>
      </c>
      <c r="F8" s="4">
        <f t="shared" si="1"/>
        <v>13514.28</v>
      </c>
      <c r="G8" s="2">
        <f t="shared" si="2"/>
        <v>0.01</v>
      </c>
    </row>
    <row r="9" spans="1:7" x14ac:dyDescent="0.2">
      <c r="A9" t="s">
        <v>7</v>
      </c>
      <c r="B9" s="4">
        <v>7500</v>
      </c>
      <c r="C9" s="2">
        <v>0.01</v>
      </c>
      <c r="D9" s="4">
        <f t="shared" si="0"/>
        <v>7575</v>
      </c>
      <c r="E9" s="2">
        <v>0.01</v>
      </c>
      <c r="F9" s="4">
        <f t="shared" si="1"/>
        <v>7650.75</v>
      </c>
      <c r="G9" s="2">
        <f t="shared" si="2"/>
        <v>0.01</v>
      </c>
    </row>
    <row r="10" spans="1:7" x14ac:dyDescent="0.2">
      <c r="A10" t="s">
        <v>8</v>
      </c>
      <c r="B10" s="4">
        <v>3951.58</v>
      </c>
      <c r="C10" s="2">
        <v>0.01</v>
      </c>
      <c r="D10" s="4">
        <f t="shared" si="0"/>
        <v>3991.1</v>
      </c>
      <c r="E10" s="2">
        <v>0.02</v>
      </c>
      <c r="F10" s="4">
        <f t="shared" si="1"/>
        <v>4070.92</v>
      </c>
      <c r="G10" s="2">
        <f t="shared" si="2"/>
        <v>1.4999999999999999E-2</v>
      </c>
    </row>
    <row r="11" spans="1:7" x14ac:dyDescent="0.2">
      <c r="A11" t="s">
        <v>9</v>
      </c>
      <c r="B11" s="4">
        <v>3311.67</v>
      </c>
      <c r="C11" s="2">
        <v>-0.01</v>
      </c>
      <c r="D11" s="4">
        <f t="shared" si="0"/>
        <v>3278.55</v>
      </c>
      <c r="E11" s="2">
        <v>-0.01</v>
      </c>
      <c r="F11" s="4">
        <f t="shared" si="1"/>
        <v>3245.76</v>
      </c>
      <c r="G11" s="2">
        <f t="shared" si="2"/>
        <v>-0.01</v>
      </c>
    </row>
    <row r="12" spans="1:7" x14ac:dyDescent="0.2">
      <c r="A12" t="s">
        <v>10</v>
      </c>
      <c r="B12" s="4">
        <v>2500</v>
      </c>
      <c r="C12" s="2">
        <v>-0.02</v>
      </c>
      <c r="D12" s="4">
        <f t="shared" si="0"/>
        <v>2450</v>
      </c>
      <c r="E12" s="2">
        <v>-2.2499999999999999E-2</v>
      </c>
      <c r="F12" s="4">
        <f t="shared" si="1"/>
        <v>2394.88</v>
      </c>
      <c r="G12" s="2">
        <f t="shared" si="2"/>
        <v>-2.1299999999999999E-2</v>
      </c>
    </row>
    <row r="13" spans="1:7" x14ac:dyDescent="0.2">
      <c r="B13" s="3">
        <f>SUM(B5:B12)</f>
        <v>136409.47</v>
      </c>
      <c r="D13" s="3">
        <f>SUM(D5:D12)</f>
        <v>139055.66999999998</v>
      </c>
      <c r="F13" s="3">
        <f>SUM(F5:F12)</f>
        <v>142135.08000000002</v>
      </c>
    </row>
  </sheetData>
  <mergeCells count="2">
    <mergeCell ref="A1:G1"/>
    <mergeCell ref="A2:G2"/>
  </mergeCells>
  <conditionalFormatting sqref="C5:C12 E5:E12 G5:G12">
    <cfRule type="cellIs" dxfId="1" priority="1" operator="lessThan">
      <formula>0</formula>
    </cfRule>
  </conditionalFormatting>
  <printOptions horizontalCentered="1"/>
  <pageMargins left="0.5" right="0.5" top="0.75" bottom="0.75" header="0.3" footer="0.3"/>
  <pageSetup orientation="landscape" horizontalDpi="0" verticalDpi="0"/>
  <headerFooter>
    <oddHeader>&amp;LJoseph Korman&amp;CExpense Worksheet&amp;R&amp;"System Font,Regular"&amp;10&amp;D</oddHeader>
    <oddFooter>&amp;C&amp;A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B030-AF44-DB45-8833-F6E6AF1E8A26}">
  <sheetPr>
    <tabColor rgb="FFFFC000"/>
  </sheetPr>
  <dimension ref="A1:G13"/>
  <sheetViews>
    <sheetView tabSelected="1" topLeftCell="A3" zoomScale="120" zoomScaleNormal="120" workbookViewId="0">
      <selection activeCell="G19" sqref="G19"/>
    </sheetView>
  </sheetViews>
  <sheetFormatPr baseColWidth="10" defaultRowHeight="16" x14ac:dyDescent="0.2"/>
  <cols>
    <col min="1" max="1" width="21.33203125" customWidth="1"/>
    <col min="2" max="7" width="14.33203125" customWidth="1"/>
  </cols>
  <sheetData>
    <row r="1" spans="1:7" ht="25" x14ac:dyDescent="0.3">
      <c r="A1" s="19" t="s">
        <v>0</v>
      </c>
      <c r="B1" s="19"/>
      <c r="C1" s="19"/>
      <c r="D1" s="19"/>
      <c r="E1" s="19"/>
      <c r="F1" s="19"/>
      <c r="G1" s="19"/>
    </row>
    <row r="2" spans="1:7" ht="22" x14ac:dyDescent="0.3">
      <c r="A2" s="20" t="s">
        <v>16</v>
      </c>
      <c r="B2" s="20"/>
      <c r="C2" s="20"/>
      <c r="D2" s="20"/>
      <c r="E2" s="20"/>
      <c r="F2" s="20"/>
      <c r="G2" s="20"/>
    </row>
    <row r="3" spans="1:7" x14ac:dyDescent="0.2">
      <c r="G3" s="5">
        <f ca="1">TODAY()</f>
        <v>45701</v>
      </c>
    </row>
    <row r="4" spans="1:7" ht="52" customHeight="1" x14ac:dyDescent="0.2">
      <c r="A4" t="s">
        <v>2</v>
      </c>
      <c r="B4">
        <v>2020</v>
      </c>
      <c r="C4" s="1" t="s">
        <v>11</v>
      </c>
      <c r="D4">
        <v>2021</v>
      </c>
      <c r="E4" s="1" t="s">
        <v>12</v>
      </c>
      <c r="F4">
        <v>2022</v>
      </c>
      <c r="G4" s="1" t="s">
        <v>13</v>
      </c>
    </row>
    <row r="5" spans="1:7" x14ac:dyDescent="0.2">
      <c r="A5" t="s">
        <v>3</v>
      </c>
      <c r="B5" s="3">
        <v>68712.06</v>
      </c>
      <c r="C5" s="2">
        <v>2.5000000000000001E-2</v>
      </c>
      <c r="D5" s="3">
        <f>ROUND(B5+B5*C5,2)</f>
        <v>70429.86</v>
      </c>
      <c r="E5" s="2">
        <v>2.5000000000000001E-2</v>
      </c>
      <c r="F5" s="3">
        <f>ROUND(D5+D5*E5,2)</f>
        <v>72190.61</v>
      </c>
      <c r="G5" s="2">
        <f>ROUND((C5+E5)/2,4)</f>
        <v>2.5000000000000001E-2</v>
      </c>
    </row>
    <row r="6" spans="1:7" x14ac:dyDescent="0.2">
      <c r="A6" t="s">
        <v>4</v>
      </c>
      <c r="B6" s="4">
        <v>17077.07</v>
      </c>
      <c r="C6" s="2">
        <v>0.02</v>
      </c>
      <c r="D6" s="4">
        <f t="shared" ref="D6:D12" si="0">ROUND(B6+B6*C6,2)</f>
        <v>17418.61</v>
      </c>
      <c r="E6" s="2">
        <v>0.03</v>
      </c>
      <c r="F6" s="4">
        <f t="shared" ref="F6:F12" si="1">ROUND(D6+D6*E6,2)</f>
        <v>17941.169999999998</v>
      </c>
      <c r="G6" s="2">
        <f t="shared" ref="G6:G12" si="2">ROUND((C6+E6)/2,4)</f>
        <v>2.5000000000000001E-2</v>
      </c>
    </row>
    <row r="7" spans="1:7" x14ac:dyDescent="0.2">
      <c r="A7" t="s">
        <v>5</v>
      </c>
      <c r="B7" s="4">
        <v>18500</v>
      </c>
      <c r="C7" s="2">
        <v>0.02</v>
      </c>
      <c r="D7" s="4">
        <f t="shared" si="0"/>
        <v>18870</v>
      </c>
      <c r="E7" s="2">
        <v>0.03</v>
      </c>
      <c r="F7" s="4">
        <f t="shared" si="1"/>
        <v>19436.099999999999</v>
      </c>
      <c r="G7" s="2">
        <f t="shared" si="2"/>
        <v>2.5000000000000001E-2</v>
      </c>
    </row>
    <row r="8" spans="1:7" x14ac:dyDescent="0.2">
      <c r="A8" t="s">
        <v>6</v>
      </c>
      <c r="B8" s="4">
        <v>12528</v>
      </c>
      <c r="C8" s="2">
        <v>0.01</v>
      </c>
      <c r="D8" s="4">
        <f t="shared" si="0"/>
        <v>12653.28</v>
      </c>
      <c r="E8" s="2">
        <v>0.01</v>
      </c>
      <c r="F8" s="4">
        <f t="shared" si="1"/>
        <v>12779.81</v>
      </c>
      <c r="G8" s="2">
        <f t="shared" si="2"/>
        <v>0.01</v>
      </c>
    </row>
    <row r="9" spans="1:7" x14ac:dyDescent="0.2">
      <c r="A9" t="s">
        <v>7</v>
      </c>
      <c r="B9" s="4">
        <v>5000</v>
      </c>
      <c r="C9" s="2">
        <v>0.01</v>
      </c>
      <c r="D9" s="4">
        <f t="shared" si="0"/>
        <v>5050</v>
      </c>
      <c r="E9" s="2">
        <v>0.01</v>
      </c>
      <c r="F9" s="4">
        <f t="shared" si="1"/>
        <v>5100.5</v>
      </c>
      <c r="G9" s="2">
        <f t="shared" si="2"/>
        <v>0.01</v>
      </c>
    </row>
    <row r="10" spans="1:7" x14ac:dyDescent="0.2">
      <c r="A10" t="s">
        <v>8</v>
      </c>
      <c r="B10" s="4">
        <v>4810.62</v>
      </c>
      <c r="C10" s="2">
        <v>0.01</v>
      </c>
      <c r="D10" s="4">
        <f t="shared" si="0"/>
        <v>4858.7299999999996</v>
      </c>
      <c r="E10" s="2">
        <v>0.02</v>
      </c>
      <c r="F10" s="4">
        <f t="shared" si="1"/>
        <v>4955.8999999999996</v>
      </c>
      <c r="G10" s="2">
        <f t="shared" si="2"/>
        <v>1.4999999999999999E-2</v>
      </c>
    </row>
    <row r="11" spans="1:7" x14ac:dyDescent="0.2">
      <c r="A11" t="s">
        <v>9</v>
      </c>
      <c r="B11" s="4">
        <v>4031.6</v>
      </c>
      <c r="C11" s="2">
        <v>-0.01</v>
      </c>
      <c r="D11" s="4">
        <f t="shared" si="0"/>
        <v>3991.28</v>
      </c>
      <c r="E11" s="2">
        <v>-0.01</v>
      </c>
      <c r="F11" s="4">
        <f t="shared" si="1"/>
        <v>3951.37</v>
      </c>
      <c r="G11" s="2">
        <f t="shared" si="2"/>
        <v>-0.01</v>
      </c>
    </row>
    <row r="12" spans="1:7" x14ac:dyDescent="0.2">
      <c r="A12" t="s">
        <v>10</v>
      </c>
      <c r="B12" s="4">
        <v>2500</v>
      </c>
      <c r="C12" s="2">
        <v>-0.02</v>
      </c>
      <c r="D12" s="4">
        <f t="shared" si="0"/>
        <v>2450</v>
      </c>
      <c r="E12" s="2">
        <v>-2.2499999999999999E-2</v>
      </c>
      <c r="F12" s="4">
        <f t="shared" si="1"/>
        <v>2394.88</v>
      </c>
      <c r="G12" s="2">
        <f t="shared" si="2"/>
        <v>-2.1299999999999999E-2</v>
      </c>
    </row>
    <row r="13" spans="1:7" x14ac:dyDescent="0.2">
      <c r="B13" s="3">
        <f>SUM(B5:B12)</f>
        <v>133159.35</v>
      </c>
      <c r="D13" s="3">
        <f>SUM(D5:D12)</f>
        <v>135721.76</v>
      </c>
      <c r="F13" s="3">
        <f>SUM(F5:F12)</f>
        <v>138750.34</v>
      </c>
    </row>
  </sheetData>
  <mergeCells count="2">
    <mergeCell ref="A1:G1"/>
    <mergeCell ref="A2:G2"/>
  </mergeCells>
  <conditionalFormatting sqref="C5:C12 E5:E12 G5:G12">
    <cfRule type="cellIs" dxfId="0" priority="1" operator="lessThan">
      <formula>0</formula>
    </cfRule>
  </conditionalFormatting>
  <printOptions horizontalCentered="1"/>
  <pageMargins left="0.5" right="0.5" top="0.75" bottom="0.75" header="0.3" footer="0.3"/>
  <pageSetup orientation="landscape" horizontalDpi="0" verticalDpi="0"/>
  <headerFooter>
    <oddHeader>&amp;LJoseph Korman&amp;CExpense Worksheet&amp;R&amp;"System Font,Regular"&amp;10&amp;D</oddHeader>
    <oddFooter>&amp;C&amp;A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</vt:lpstr>
      <vt:lpstr>Lady Lobter</vt:lpstr>
      <vt:lpstr>Henry Haddock</vt:lpstr>
      <vt:lpstr>Sharon Shrimp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2025-02-12T22:16:25Z</dcterms:created>
  <dcterms:modified xsi:type="dcterms:W3CDTF">2025-02-13T19:17:45Z</dcterms:modified>
</cp:coreProperties>
</file>