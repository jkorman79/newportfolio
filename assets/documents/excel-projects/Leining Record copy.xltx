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omments6.xml" ContentType="application/vnd.openxmlformats-officedocument.spreadsheetml.comments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ephkorman/Desktop/Class Documents/MIS 500/Homeworks/"/>
    </mc:Choice>
  </mc:AlternateContent>
  <xr:revisionPtr revIDLastSave="0" documentId="8_{6D27F136-365B-4B46-AFD9-73981FE26C47}" xr6:coauthVersionLast="47" xr6:coauthVersionMax="47" xr10:uidLastSave="{00000000-0000-0000-0000-000000000000}"/>
  <bookViews>
    <workbookView xWindow="0" yWindow="760" windowWidth="30240" windowHeight="17360" activeTab="7" xr2:uid="{3FBD7CF2-4817-FC4A-907C-C6FCD9BD6B71}"/>
  </bookViews>
  <sheets>
    <sheet name="בראשית" sheetId="1" r:id="rId1"/>
    <sheet name="שמות" sheetId="5" r:id="rId2"/>
    <sheet name="ויקרא" sheetId="6" r:id="rId3"/>
    <sheet name="במדבר" sheetId="4" r:id="rId4"/>
    <sheet name="דברים" sheetId="7" r:id="rId5"/>
    <sheet name="Additional Readings" sheetId="2" r:id="rId6"/>
    <sheet name="חמש מגילות" sheetId="3" r:id="rId7"/>
    <sheet name="Statistics" sheetId="8" r:id="rId8"/>
  </sheets>
  <definedNames>
    <definedName name="Completion_Percentage_by_Aliyah">Statistics!$D$10:$E$16</definedName>
    <definedName name="Completion_Percentage_by_Pasuk">Statistics!$D$2:$E$8</definedName>
    <definedName name="Full_Parsha_Statistics">Statistics!$G$11:$H$13</definedName>
    <definedName name="Torah_Totals">Statistics!$G$2:$J$9</definedName>
    <definedName name="Total_Aliyot_COmpleted">Statistics!$A$2:$B$8</definedName>
    <definedName name="Total_Pesukim_Completed">Statistics!$A$10:$B$16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4" l="1"/>
  <c r="E30" i="7"/>
  <c r="F30" i="7"/>
  <c r="G30" i="7"/>
  <c r="H30" i="7"/>
  <c r="I30" i="7"/>
  <c r="J30" i="7"/>
  <c r="D30" i="7"/>
  <c r="C30" i="7"/>
  <c r="D32" i="6"/>
  <c r="E32" i="6"/>
  <c r="F32" i="6"/>
  <c r="G32" i="6"/>
  <c r="H32" i="6"/>
  <c r="I32" i="6"/>
  <c r="J32" i="6"/>
  <c r="C32" i="6"/>
  <c r="D30" i="5"/>
  <c r="E30" i="5"/>
  <c r="F30" i="5"/>
  <c r="G30" i="5"/>
  <c r="H30" i="5"/>
  <c r="I30" i="5"/>
  <c r="C30" i="5"/>
  <c r="C30" i="1"/>
  <c r="B11" i="8" s="1"/>
  <c r="E3" i="8" s="1"/>
  <c r="J30" i="1"/>
  <c r="E30" i="1"/>
  <c r="F30" i="1"/>
  <c r="G30" i="1"/>
  <c r="H30" i="1"/>
  <c r="I30" i="1"/>
  <c r="D30" i="1"/>
  <c r="E30" i="4"/>
  <c r="F30" i="4"/>
  <c r="G30" i="4"/>
  <c r="H30" i="4"/>
  <c r="I30" i="4"/>
  <c r="J30" i="4"/>
  <c r="D30" i="4"/>
  <c r="B14" i="8" s="1"/>
  <c r="H4" i="8"/>
  <c r="J4" i="8" s="1"/>
  <c r="C28" i="2"/>
  <c r="D28" i="2"/>
  <c r="E28" i="2"/>
  <c r="F28" i="2"/>
  <c r="G28" i="2"/>
  <c r="H28" i="2"/>
  <c r="I28" i="2"/>
  <c r="J28" i="2"/>
  <c r="B28" i="2"/>
  <c r="C7" i="3"/>
  <c r="D7" i="3"/>
  <c r="E7" i="3"/>
  <c r="F7" i="3"/>
  <c r="G7" i="3"/>
  <c r="H7" i="3"/>
  <c r="I7" i="3"/>
  <c r="J7" i="3"/>
  <c r="K7" i="3"/>
  <c r="L7" i="3"/>
  <c r="M7" i="3"/>
  <c r="B7" i="3"/>
  <c r="B35" i="2"/>
  <c r="I6" i="8"/>
  <c r="I7" i="8"/>
  <c r="I5" i="8"/>
  <c r="B29" i="1"/>
  <c r="B19" i="1"/>
  <c r="B20" i="1"/>
  <c r="B21" i="1"/>
  <c r="B22" i="1"/>
  <c r="B23" i="1"/>
  <c r="B24" i="1"/>
  <c r="B25" i="1"/>
  <c r="B26" i="1"/>
  <c r="B27" i="1"/>
  <c r="B28" i="1"/>
  <c r="B18" i="1"/>
  <c r="C15" i="7"/>
  <c r="D15" i="7"/>
  <c r="E15" i="7"/>
  <c r="F15" i="7"/>
  <c r="G15" i="7"/>
  <c r="H15" i="7"/>
  <c r="I15" i="7"/>
  <c r="J15" i="7"/>
  <c r="B15" i="7"/>
  <c r="C15" i="4"/>
  <c r="D15" i="4"/>
  <c r="E15" i="4"/>
  <c r="F15" i="4"/>
  <c r="G15" i="4"/>
  <c r="H15" i="4"/>
  <c r="I15" i="4"/>
  <c r="J15" i="4"/>
  <c r="B15" i="4"/>
  <c r="C16" i="6"/>
  <c r="D16" i="6"/>
  <c r="E16" i="6"/>
  <c r="F16" i="6"/>
  <c r="G16" i="6"/>
  <c r="H16" i="6"/>
  <c r="I16" i="6"/>
  <c r="J16" i="6"/>
  <c r="B16" i="6"/>
  <c r="C15" i="5"/>
  <c r="D15" i="5"/>
  <c r="E15" i="5"/>
  <c r="F15" i="5"/>
  <c r="G15" i="5"/>
  <c r="H15" i="5"/>
  <c r="I15" i="5"/>
  <c r="J15" i="5"/>
  <c r="B15" i="5"/>
  <c r="D15" i="1"/>
  <c r="E15" i="1"/>
  <c r="F15" i="1"/>
  <c r="G15" i="1"/>
  <c r="H15" i="1"/>
  <c r="I15" i="1"/>
  <c r="J15" i="1"/>
  <c r="C15" i="1"/>
  <c r="I4" i="8"/>
  <c r="H12" i="8"/>
  <c r="H8" i="8"/>
  <c r="J8" i="8" s="1"/>
  <c r="H7" i="8"/>
  <c r="J7" i="8" s="1"/>
  <c r="H5" i="8"/>
  <c r="J5" i="8" s="1"/>
  <c r="H6" i="8"/>
  <c r="J6" i="8" s="1"/>
  <c r="I8" i="8"/>
  <c r="B29" i="7"/>
  <c r="B19" i="7"/>
  <c r="B20" i="7"/>
  <c r="B21" i="7"/>
  <c r="B22" i="7"/>
  <c r="B23" i="7"/>
  <c r="B24" i="7"/>
  <c r="B25" i="7"/>
  <c r="B26" i="7"/>
  <c r="B27" i="7"/>
  <c r="B28" i="7"/>
  <c r="B18" i="7"/>
  <c r="B18" i="4"/>
  <c r="B19" i="4"/>
  <c r="B20" i="4"/>
  <c r="B21" i="4"/>
  <c r="B22" i="4"/>
  <c r="B23" i="4"/>
  <c r="B24" i="4"/>
  <c r="B25" i="4"/>
  <c r="B26" i="4"/>
  <c r="B27" i="4"/>
  <c r="B28" i="4"/>
  <c r="B29" i="4"/>
  <c r="B31" i="6"/>
  <c r="B20" i="6"/>
  <c r="B21" i="6"/>
  <c r="B22" i="6"/>
  <c r="B23" i="6"/>
  <c r="B24" i="6"/>
  <c r="B25" i="6"/>
  <c r="B26" i="6"/>
  <c r="B27" i="6"/>
  <c r="B28" i="6"/>
  <c r="B29" i="6"/>
  <c r="B30" i="6"/>
  <c r="B19" i="6"/>
  <c r="B19" i="5"/>
  <c r="B20" i="5"/>
  <c r="B21" i="5"/>
  <c r="B22" i="5"/>
  <c r="B23" i="5"/>
  <c r="B24" i="5"/>
  <c r="B25" i="5"/>
  <c r="B26" i="5"/>
  <c r="B27" i="5"/>
  <c r="B28" i="5"/>
  <c r="B29" i="5"/>
  <c r="B18" i="5"/>
  <c r="B15" i="1"/>
  <c r="B15" i="8" l="1"/>
  <c r="E7" i="8" s="1"/>
  <c r="B7" i="8"/>
  <c r="E15" i="8" s="1"/>
  <c r="B5" i="8"/>
  <c r="B12" i="8"/>
  <c r="B3" i="8"/>
  <c r="E6" i="8"/>
  <c r="B13" i="8"/>
  <c r="E5" i="8" s="1"/>
  <c r="B6" i="8"/>
  <c r="E14" i="8" s="1"/>
  <c r="J9" i="8"/>
  <c r="E11" i="8"/>
  <c r="E13" i="8"/>
  <c r="E4" i="8"/>
  <c r="B4" i="8"/>
  <c r="I9" i="8"/>
  <c r="H9" i="8"/>
  <c r="H13" i="8" s="1"/>
  <c r="K28" i="2"/>
  <c r="N7" i="3"/>
  <c r="B16" i="8" l="1"/>
  <c r="E8" i="8" s="1"/>
  <c r="B8" i="8"/>
  <c r="E16" i="8" s="1"/>
  <c r="E1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Korman</author>
  </authors>
  <commentList>
    <comment ref="A3" authorId="0" shapeId="0" xr:uid="{0BF5AFFE-80AE-B845-928F-9206D7C974E2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147 Pesukim
</t>
        </r>
        <r>
          <rPr>
            <sz val="10"/>
            <color rgb="FF000000"/>
            <rFont val="Aptos Narrow"/>
          </rPr>
          <t xml:space="preserve">1. 34 Pesukim 
</t>
        </r>
        <r>
          <rPr>
            <sz val="10"/>
            <color rgb="FF000000"/>
            <rFont val="Aptos Narrow"/>
          </rPr>
          <t xml:space="preserve">2. 16 Pesukim
</t>
        </r>
        <r>
          <rPr>
            <sz val="10"/>
            <color rgb="FF000000"/>
            <rFont val="Aptos Narrow"/>
          </rPr>
          <t xml:space="preserve">3. 27 Pesukim
</t>
        </r>
        <r>
          <rPr>
            <sz val="10"/>
            <color rgb="FF000000"/>
            <rFont val="Aptos Narrow"/>
          </rPr>
          <t xml:space="preserve">4. 21 Pesukim
</t>
        </r>
        <r>
          <rPr>
            <sz val="10"/>
            <color rgb="FF000000"/>
            <rFont val="Aptos Narrow"/>
          </rPr>
          <t xml:space="preserve">5. 4 Pesukim
</t>
        </r>
        <r>
          <rPr>
            <sz val="10"/>
            <color rgb="FF000000"/>
            <rFont val="Aptos Narrow"/>
          </rPr>
          <t xml:space="preserve">6. 28 Pesukim
</t>
        </r>
        <r>
          <rPr>
            <sz val="10"/>
            <color rgb="FF000000"/>
            <rFont val="Aptos Narrow"/>
          </rPr>
          <t xml:space="preserve">7. 16 Pesukim
</t>
        </r>
        <r>
          <rPr>
            <sz val="10"/>
            <color rgb="FF000000"/>
            <rFont val="Aptos Narrow"/>
          </rPr>
          <t>Haftorah: 31 Pesukim</t>
        </r>
      </text>
    </comment>
    <comment ref="C3" authorId="0" shapeId="0" xr:uid="{2C0472BC-4343-4346-B5B2-1C308929C30B}">
      <text>
        <r>
          <rPr>
            <b/>
            <sz val="10"/>
            <color rgb="FF000000"/>
            <rFont val="Tahoma"/>
            <family val="2"/>
          </rPr>
          <t>חתן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Tahoma"/>
            <family val="2"/>
          </rPr>
          <t>בראשית</t>
        </r>
      </text>
    </comment>
    <comment ref="A4" authorId="0" shapeId="0" xr:uid="{ED45861D-C7AC-8042-B4D9-374A3C6B3DB2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137 Pesukim
</t>
        </r>
        <r>
          <rPr>
            <sz val="10"/>
            <color rgb="FF000000"/>
            <rFont val="Aptos Narrow"/>
          </rPr>
          <t xml:space="preserve">1. 16 Pesukim 
</t>
        </r>
        <r>
          <rPr>
            <sz val="10"/>
            <color rgb="FF000000"/>
            <rFont val="Aptos Narrow"/>
          </rPr>
          <t xml:space="preserve">2. 14 Pesukim
</t>
        </r>
        <r>
          <rPr>
            <sz val="10"/>
            <color rgb="FF000000"/>
            <rFont val="Aptos Narrow"/>
          </rPr>
          <t xml:space="preserve">3. 22 Pesukim
</t>
        </r>
        <r>
          <rPr>
            <sz val="10"/>
            <color rgb="FF000000"/>
            <rFont val="Aptos Narrow"/>
          </rPr>
          <t xml:space="preserve">4. 15 Pesukim
</t>
        </r>
        <r>
          <rPr>
            <sz val="10"/>
            <color rgb="FF000000"/>
            <rFont val="Aptos Narrow"/>
          </rPr>
          <t xml:space="preserve">5. 10 Pesukim
</t>
        </r>
        <r>
          <rPr>
            <sz val="10"/>
            <color rgb="FF000000"/>
            <rFont val="Aptos Narrow"/>
          </rPr>
          <t xml:space="preserve">6. 44 Pesukim
</t>
        </r>
        <r>
          <rPr>
            <sz val="10"/>
            <color rgb="FF000000"/>
            <rFont val="Aptos Narrow"/>
          </rPr>
          <t xml:space="preserve">7. 16 Pesukim
</t>
        </r>
        <r>
          <rPr>
            <sz val="10"/>
            <color rgb="FF000000"/>
            <rFont val="Aptos Narrow"/>
          </rPr>
          <t>Haftorah: 22 Pesukim</t>
        </r>
      </text>
    </comment>
    <comment ref="A5" authorId="0" shapeId="0" xr:uid="{5E2E7948-C2B9-A040-92CD-AE0EAB95A46B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126 Pesukim
</t>
        </r>
        <r>
          <rPr>
            <sz val="10"/>
            <color rgb="FF000000"/>
            <rFont val="Aptos Narrow"/>
          </rPr>
          <t xml:space="preserve">1. 13 Pesukim 
</t>
        </r>
        <r>
          <rPr>
            <sz val="10"/>
            <color rgb="FF000000"/>
            <rFont val="Aptos Narrow"/>
          </rPr>
          <t xml:space="preserve">2. 11 Pesukim
</t>
        </r>
        <r>
          <rPr>
            <sz val="10"/>
            <color rgb="FF000000"/>
            <rFont val="Aptos Narrow"/>
          </rPr>
          <t xml:space="preserve">3. 14 Pesukim
</t>
        </r>
        <r>
          <rPr>
            <sz val="10"/>
            <color rgb="FF000000"/>
            <rFont val="Aptos Narrow"/>
          </rPr>
          <t xml:space="preserve">4. 20 Pesukim
</t>
        </r>
        <r>
          <rPr>
            <sz val="10"/>
            <color rgb="FF000000"/>
            <rFont val="Aptos Narrow"/>
          </rPr>
          <t xml:space="preserve">5. 10 Pesukim
</t>
        </r>
        <r>
          <rPr>
            <sz val="10"/>
            <color rgb="FF000000"/>
            <rFont val="Aptos Narrow"/>
          </rPr>
          <t xml:space="preserve">6. 37 Pesukim
</t>
        </r>
        <r>
          <rPr>
            <sz val="10"/>
            <color rgb="FF000000"/>
            <rFont val="Aptos Narrow"/>
          </rPr>
          <t xml:space="preserve">7. 21 Pesukim
</t>
        </r>
        <r>
          <rPr>
            <sz val="10"/>
            <color rgb="FF000000"/>
            <rFont val="Aptos Narrow"/>
          </rPr>
          <t>Haftorah: 21 Pesukim</t>
        </r>
      </text>
    </comment>
    <comment ref="A6" authorId="0" shapeId="0" xr:uid="{2DA1FFB4-6141-AC43-991B-492F8CE5F4EE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147 Pesukim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19 Pesukim
</t>
        </r>
        <r>
          <rPr>
            <sz val="10"/>
            <color rgb="FF000000"/>
            <rFont val="Aptos Narrow"/>
          </rPr>
          <t xml:space="preserve">3. 20 Pesukim
</t>
        </r>
        <r>
          <rPr>
            <sz val="10"/>
            <color rgb="FF000000"/>
            <rFont val="Aptos Narrow"/>
          </rPr>
          <t xml:space="preserve">4. 40 Pesukim
</t>
        </r>
        <r>
          <rPr>
            <sz val="10"/>
            <color rgb="FF000000"/>
            <rFont val="Aptos Narrow"/>
          </rPr>
          <t xml:space="preserve">5. 17 Pesukim
</t>
        </r>
        <r>
          <rPr>
            <sz val="10"/>
            <color rgb="FF000000"/>
            <rFont val="Aptos Narrow"/>
          </rPr>
          <t xml:space="preserve">6. 13 Pesukim
</t>
        </r>
        <r>
          <rPr>
            <sz val="10"/>
            <color rgb="FF000000"/>
            <rFont val="Aptos Narrow"/>
          </rPr>
          <t xml:space="preserve">7. 24 Pesukim
</t>
        </r>
        <r>
          <rPr>
            <sz val="10"/>
            <color rgb="FF000000"/>
            <rFont val="Aptos Narrow"/>
          </rPr>
          <t>Haftorah: 37 Pesukim</t>
        </r>
      </text>
    </comment>
    <comment ref="E6" authorId="0" shapeId="0" xr:uid="{EECDCD5B-FEC6-7C4F-8451-C37657DBC910}">
      <text>
        <r>
          <rPr>
            <b/>
            <sz val="10"/>
            <color rgb="FF000000"/>
            <rFont val="Aptos Narrow"/>
          </rPr>
          <t xml:space="preserve">Has a </t>
        </r>
        <r>
          <rPr>
            <b/>
            <sz val="10"/>
            <color rgb="FF000000"/>
            <rFont val="Aptos Narrow"/>
          </rPr>
          <t>שלשלת</t>
        </r>
      </text>
    </comment>
    <comment ref="F6" authorId="0" shapeId="0" xr:uid="{42E1CC03-889C-A042-8660-2FBEEDDAFC26}">
      <text>
        <r>
          <rPr>
            <b/>
            <sz val="10"/>
            <color rgb="FF000000"/>
            <rFont val="Tahoma"/>
            <family val="2"/>
          </rPr>
          <t>Rosh Hashannah Day 1 begins toward the end (Beginning of Chapter 21)</t>
        </r>
      </text>
    </comment>
    <comment ref="G6" authorId="0" shapeId="0" xr:uid="{02617C4C-1FE7-0544-B2B0-528D506E880C}">
      <text>
        <r>
          <rPr>
            <b/>
            <sz val="10"/>
            <color rgb="FF000000"/>
            <rFont val="Tahoma"/>
            <family val="2"/>
          </rPr>
          <t>Rosh Hashannah Day 1 Continued</t>
        </r>
      </text>
    </comment>
    <comment ref="H6" authorId="0" shapeId="0" xr:uid="{603B03D2-4EAE-C34D-BA6B-1C0094939594}">
      <text>
        <r>
          <rPr>
            <b/>
            <sz val="10"/>
            <color rgb="FF000000"/>
            <rFont val="Tahoma"/>
            <family val="2"/>
          </rPr>
          <t>Rosh Hashannah Day 1 Continued</t>
        </r>
      </text>
    </comment>
    <comment ref="I6" authorId="0" shapeId="0" xr:uid="{CCDED158-451D-7849-85FF-5162C4195227}">
      <text>
        <r>
          <rPr>
            <b/>
            <sz val="10"/>
            <color rgb="FF000000"/>
            <rFont val="Tahoma"/>
            <family val="2"/>
          </rPr>
          <t>Rosh Hashannah Day 2</t>
        </r>
      </text>
    </comment>
    <comment ref="A7" authorId="0" shapeId="0" xr:uid="{CB0FBBBC-762D-094D-A4F5-8CB671E398EE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105 Pesukim
</t>
        </r>
        <r>
          <rPr>
            <sz val="10"/>
            <color rgb="FF000000"/>
            <rFont val="Aptos Narrow"/>
          </rPr>
          <t xml:space="preserve">1. 16 Pesukim 
</t>
        </r>
        <r>
          <rPr>
            <sz val="10"/>
            <color rgb="FF000000"/>
            <rFont val="Aptos Narrow"/>
          </rPr>
          <t xml:space="preserve">2. 13 Pesukim
</t>
        </r>
        <r>
          <rPr>
            <sz val="10"/>
            <color rgb="FF000000"/>
            <rFont val="Aptos Narrow"/>
          </rPr>
          <t xml:space="preserve">3. 17 Pesukim
</t>
        </r>
        <r>
          <rPr>
            <sz val="10"/>
            <color rgb="FF000000"/>
            <rFont val="Aptos Narrow"/>
          </rPr>
          <t xml:space="preserve">4. 26 Pesukim
</t>
        </r>
        <r>
          <rPr>
            <sz val="10"/>
            <color rgb="FF000000"/>
            <rFont val="Aptos Narrow"/>
          </rPr>
          <t xml:space="preserve">5. 17 Pesukim
</t>
        </r>
        <r>
          <rPr>
            <sz val="10"/>
            <color rgb="FF000000"/>
            <rFont val="Aptos Narrow"/>
          </rPr>
          <t xml:space="preserve">6. 13 Pesukim
</t>
        </r>
        <r>
          <rPr>
            <sz val="10"/>
            <color rgb="FF000000"/>
            <rFont val="Aptos Narrow"/>
          </rPr>
          <t xml:space="preserve">7. 7 Pesukim
</t>
        </r>
        <r>
          <rPr>
            <sz val="10"/>
            <color rgb="FF000000"/>
            <rFont val="Aptos Narrow"/>
          </rPr>
          <t>Haftorah: 31 Pesukim</t>
        </r>
      </text>
    </comment>
    <comment ref="E7" authorId="0" shapeId="0" xr:uid="{C2A9CEDD-6AAA-E242-B722-0205B42605E0}">
      <text>
        <r>
          <rPr>
            <b/>
            <sz val="10"/>
            <color rgb="FF000000"/>
            <rFont val="Aptos Narrow"/>
          </rPr>
          <t xml:space="preserve">Has a </t>
        </r>
        <r>
          <rPr>
            <b/>
            <sz val="10"/>
            <color rgb="FF000000"/>
            <rFont val="Aptos Narrow"/>
          </rPr>
          <t>שלשלת</t>
        </r>
      </text>
    </comment>
    <comment ref="A8" authorId="0" shapeId="0" xr:uid="{D3E42191-0E3B-834F-B3EE-64921020CDFA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106 Pesukim
</t>
        </r>
        <r>
          <rPr>
            <sz val="10"/>
            <color rgb="FF000000"/>
            <rFont val="Aptos Narrow"/>
          </rPr>
          <t xml:space="preserve">1. 21 Pesukim 
</t>
        </r>
        <r>
          <rPr>
            <sz val="10"/>
            <color rgb="FF000000"/>
            <rFont val="Aptos Narrow"/>
          </rPr>
          <t xml:space="preserve">2. 7 Pesukim
</t>
        </r>
        <r>
          <rPr>
            <sz val="10"/>
            <color rgb="FF000000"/>
            <rFont val="Aptos Narrow"/>
          </rPr>
          <t xml:space="preserve">3. 10 Pesukim
</t>
        </r>
        <r>
          <rPr>
            <sz val="10"/>
            <color rgb="FF000000"/>
            <rFont val="Aptos Narrow"/>
          </rPr>
          <t xml:space="preserve">4.  Pesukim
</t>
        </r>
        <r>
          <rPr>
            <sz val="10"/>
            <color rgb="FF000000"/>
            <rFont val="Aptos Narrow"/>
          </rPr>
          <t xml:space="preserve">5. 33 Pesukim
</t>
        </r>
        <r>
          <rPr>
            <sz val="10"/>
            <color rgb="FF000000"/>
            <rFont val="Aptos Narrow"/>
          </rPr>
          <t xml:space="preserve">6. 23 Pesukim
</t>
        </r>
        <r>
          <rPr>
            <sz val="10"/>
            <color rgb="FF000000"/>
            <rFont val="Aptos Narrow"/>
          </rPr>
          <t xml:space="preserve">7. 5 Pesukim
</t>
        </r>
        <r>
          <rPr>
            <sz val="10"/>
            <color rgb="FF000000"/>
            <rFont val="Aptos Narrow"/>
          </rPr>
          <t>Haftorah: 21 Pesukim</t>
        </r>
      </text>
    </comment>
    <comment ref="A9" authorId="0" shapeId="0" xr:uid="{2B5E4F2E-6B0D-4F4E-B1AF-9CE877DF22EB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148 Pesukim
</t>
        </r>
        <r>
          <rPr>
            <sz val="10"/>
            <color rgb="FF000000"/>
            <rFont val="Aptos Narrow"/>
          </rPr>
          <t xml:space="preserve">1. 13 Pesukim 
</t>
        </r>
        <r>
          <rPr>
            <sz val="10"/>
            <color rgb="FF000000"/>
            <rFont val="Aptos Narrow"/>
          </rPr>
          <t xml:space="preserve">2. 17 Pesukim
</t>
        </r>
        <r>
          <rPr>
            <sz val="10"/>
            <color rgb="FF000000"/>
            <rFont val="Aptos Narrow"/>
          </rPr>
          <t xml:space="preserve">3. 31 Pesukim
</t>
        </r>
        <r>
          <rPr>
            <sz val="10"/>
            <color rgb="FF000000"/>
            <rFont val="Aptos Narrow"/>
          </rPr>
          <t xml:space="preserve">4. 14 Pesukim
</t>
        </r>
        <r>
          <rPr>
            <sz val="10"/>
            <color rgb="FF000000"/>
            <rFont val="Aptos Narrow"/>
          </rPr>
          <t xml:space="preserve">5. 32 Pesukim
</t>
        </r>
        <r>
          <rPr>
            <sz val="10"/>
            <color rgb="FF000000"/>
            <rFont val="Aptos Narrow"/>
          </rPr>
          <t xml:space="preserve">6. 26 Pesukim
</t>
        </r>
        <r>
          <rPr>
            <sz val="10"/>
            <color rgb="FF000000"/>
            <rFont val="Aptos Narrow"/>
          </rPr>
          <t xml:space="preserve">7. 15 Pesukim
</t>
        </r>
        <r>
          <rPr>
            <sz val="10"/>
            <color rgb="FF000000"/>
            <rFont val="Aptos Narrow"/>
          </rPr>
          <t>Haftorah: 28 Pesukim</t>
        </r>
      </text>
    </comment>
    <comment ref="A10" authorId="0" shapeId="0" xr:uid="{F9679E40-4E67-8D47-9929-05CFEC2E6B5A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153 Pesukim
</t>
        </r>
        <r>
          <rPr>
            <sz val="10"/>
            <color rgb="FF000000"/>
            <rFont val="Aptos Narrow"/>
          </rPr>
          <t xml:space="preserve">1. 10 Pesukim 
</t>
        </r>
        <r>
          <rPr>
            <sz val="10"/>
            <color rgb="FF000000"/>
            <rFont val="Aptos Narrow"/>
          </rPr>
          <t xml:space="preserve">2. 17 Pesukim
</t>
        </r>
        <r>
          <rPr>
            <sz val="10"/>
            <color rgb="FF000000"/>
            <rFont val="Aptos Narrow"/>
          </rPr>
          <t xml:space="preserve">3. 8 Pesukim
</t>
        </r>
        <r>
          <rPr>
            <sz val="10"/>
            <color rgb="FF000000"/>
            <rFont val="Aptos Narrow"/>
          </rPr>
          <t xml:space="preserve">4. 15 Pesukim
</t>
        </r>
        <r>
          <rPr>
            <sz val="10"/>
            <color rgb="FF000000"/>
            <rFont val="Aptos Narrow"/>
          </rPr>
          <t xml:space="preserve">5. 42 Pesukim
</t>
        </r>
        <r>
          <rPr>
            <sz val="10"/>
            <color rgb="FF000000"/>
            <rFont val="Aptos Narrow"/>
          </rPr>
          <t xml:space="preserve">6. 37 Pesukim
</t>
        </r>
        <r>
          <rPr>
            <sz val="10"/>
            <color rgb="FF000000"/>
            <rFont val="Aptos Narrow"/>
          </rPr>
          <t xml:space="preserve">7. 24 Pesukim
</t>
        </r>
        <r>
          <rPr>
            <sz val="10"/>
            <color rgb="FF000000"/>
            <rFont val="Aptos Narrow"/>
          </rPr>
          <t>Haftorah: 21 Pesukim</t>
        </r>
      </text>
    </comment>
    <comment ref="A11" authorId="0" shapeId="0" xr:uid="{73BEDC63-0624-6A40-9D03-2F74DD5B0D4A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112 Pesukim
</t>
        </r>
        <r>
          <rPr>
            <sz val="10"/>
            <color rgb="FF000000"/>
            <rFont val="Aptos Narrow"/>
          </rPr>
          <t xml:space="preserve">1. 11 Pesukim 
</t>
        </r>
        <r>
          <rPr>
            <sz val="10"/>
            <color rgb="FF000000"/>
            <rFont val="Aptos Narrow"/>
          </rPr>
          <t xml:space="preserve">2. 11 Pesukim
</t>
        </r>
        <r>
          <rPr>
            <sz val="10"/>
            <color rgb="FF000000"/>
            <rFont val="Aptos Narrow"/>
          </rPr>
          <t xml:space="preserve">3. 14 Pesukim
</t>
        </r>
        <r>
          <rPr>
            <sz val="10"/>
            <color rgb="FF000000"/>
            <rFont val="Aptos Narrow"/>
          </rPr>
          <t xml:space="preserve">4. 30 Pesukim
</t>
        </r>
        <r>
          <rPr>
            <sz val="10"/>
            <color rgb="FF000000"/>
            <rFont val="Aptos Narrow"/>
          </rPr>
          <t xml:space="preserve">5. 6 Pesukim
</t>
        </r>
        <r>
          <rPr>
            <sz val="10"/>
            <color rgb="FF000000"/>
            <rFont val="Aptos Narrow"/>
          </rPr>
          <t xml:space="preserve">6. 17 Pesukim
</t>
        </r>
        <r>
          <rPr>
            <sz val="10"/>
            <color rgb="FF000000"/>
            <rFont val="Aptos Narrow"/>
          </rPr>
          <t xml:space="preserve">7. 23 Pesukim
</t>
        </r>
        <r>
          <rPr>
            <sz val="10"/>
            <color rgb="FF000000"/>
            <rFont val="Aptos Narrow"/>
          </rPr>
          <t>Haftorah: 19 Pesukim</t>
        </r>
      </text>
    </comment>
    <comment ref="H11" authorId="0" shapeId="0" xr:uid="{C9CC8507-65CB-6741-BDEF-930DB3C2F9D6}">
      <text>
        <r>
          <rPr>
            <b/>
            <sz val="10"/>
            <color rgb="FF000000"/>
            <rFont val="Aptos Narrow"/>
          </rPr>
          <t xml:space="preserve">Has a </t>
        </r>
        <r>
          <rPr>
            <b/>
            <sz val="10"/>
            <color rgb="FF000000"/>
            <rFont val="Aptos Narrow"/>
          </rPr>
          <t>שלשלת</t>
        </r>
      </text>
    </comment>
    <comment ref="A12" authorId="0" shapeId="0" xr:uid="{9CFA7399-A093-9E46-BEE1-50A31AA859A0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146 Pesukim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24 Pesukim
</t>
        </r>
        <r>
          <rPr>
            <sz val="10"/>
            <color rgb="FF000000"/>
            <rFont val="Aptos Narrow"/>
          </rPr>
          <t xml:space="preserve">3. 14 Pesukim
</t>
        </r>
        <r>
          <rPr>
            <sz val="10"/>
            <color rgb="FF000000"/>
            <rFont val="Aptos Narrow"/>
          </rPr>
          <t xml:space="preserve">4. 23 Pesukim
</t>
        </r>
        <r>
          <rPr>
            <sz val="10"/>
            <color rgb="FF000000"/>
            <rFont val="Aptos Narrow"/>
          </rPr>
          <t xml:space="preserve">5. 35 Pesukim
</t>
        </r>
        <r>
          <rPr>
            <sz val="10"/>
            <color rgb="FF000000"/>
            <rFont val="Aptos Narrow"/>
          </rPr>
          <t xml:space="preserve">6. 14 Pesukim
</t>
        </r>
        <r>
          <rPr>
            <sz val="10"/>
            <color rgb="FF000000"/>
            <rFont val="Aptos Narrow"/>
          </rPr>
          <t xml:space="preserve">7. 22 Pesukim
</t>
        </r>
        <r>
          <rPr>
            <sz val="10"/>
            <color rgb="FF000000"/>
            <rFont val="Aptos Narrow"/>
          </rPr>
          <t>Haftorah: 15 Pesukim</t>
        </r>
      </text>
    </comment>
    <comment ref="A13" authorId="0" shapeId="0" xr:uid="{994D3899-A884-8A4A-A8F7-6723F58BCD61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106 Pesukim
</t>
        </r>
        <r>
          <rPr>
            <sz val="10"/>
            <color rgb="FF000000"/>
            <rFont val="Aptos Narrow"/>
          </rPr>
          <t xml:space="preserve">1. 13 Pesukim 
</t>
        </r>
        <r>
          <rPr>
            <sz val="10"/>
            <color rgb="FF000000"/>
            <rFont val="Aptos Narrow"/>
          </rPr>
          <t xml:space="preserve">2. 11 Pesukim
</t>
        </r>
        <r>
          <rPr>
            <sz val="10"/>
            <color rgb="FF000000"/>
            <rFont val="Aptos Narrow"/>
          </rPr>
          <t xml:space="preserve">3. 11 Pesukim
</t>
        </r>
        <r>
          <rPr>
            <sz val="10"/>
            <color rgb="FF000000"/>
            <rFont val="Aptos Narrow"/>
          </rPr>
          <t xml:space="preserve">4. 9 Pesukim
</t>
        </r>
        <r>
          <rPr>
            <sz val="10"/>
            <color rgb="FF000000"/>
            <rFont val="Aptos Narrow"/>
          </rPr>
          <t xml:space="preserve">5. 28 Pesukim
</t>
        </r>
        <r>
          <rPr>
            <sz val="10"/>
            <color rgb="FF000000"/>
            <rFont val="Aptos Narrow"/>
          </rPr>
          <t xml:space="preserve">6. 17 Pesukim
</t>
        </r>
        <r>
          <rPr>
            <sz val="10"/>
            <color rgb="FF000000"/>
            <rFont val="Aptos Narrow"/>
          </rPr>
          <t xml:space="preserve">7. 17 Pesukim
</t>
        </r>
        <r>
          <rPr>
            <sz val="10"/>
            <color rgb="FF000000"/>
            <rFont val="Aptos Narrow"/>
          </rPr>
          <t>Haftorah: 14 Pesukim</t>
        </r>
      </text>
    </comment>
    <comment ref="A14" authorId="0" shapeId="0" xr:uid="{2427AE92-FFE8-C04C-B5C4-6021FBD2064D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85 Pesukim
</t>
        </r>
        <r>
          <rPr>
            <sz val="10"/>
            <color rgb="FF000000"/>
            <rFont val="Aptos Narrow"/>
          </rPr>
          <t xml:space="preserve">1. 13 Pesukim 
</t>
        </r>
        <r>
          <rPr>
            <sz val="10"/>
            <color rgb="FF000000"/>
            <rFont val="Aptos Narrow"/>
          </rPr>
          <t xml:space="preserve">2. 7 Pesukim
</t>
        </r>
        <r>
          <rPr>
            <sz val="10"/>
            <color rgb="FF000000"/>
            <rFont val="Aptos Narrow"/>
          </rPr>
          <t xml:space="preserve">3. 6 Pesukim
</t>
        </r>
        <r>
          <rPr>
            <sz val="10"/>
            <color rgb="FF000000"/>
            <rFont val="Aptos Narrow"/>
          </rPr>
          <t xml:space="preserve">4. 18 Pesukim
</t>
        </r>
        <r>
          <rPr>
            <sz val="10"/>
            <color rgb="FF000000"/>
            <rFont val="Aptos Narrow"/>
          </rPr>
          <t xml:space="preserve">5. 8 Pesukim
</t>
        </r>
        <r>
          <rPr>
            <sz val="10"/>
            <color rgb="FF000000"/>
            <rFont val="Aptos Narrow"/>
          </rPr>
          <t xml:space="preserve">6. 27 Pesukim
</t>
        </r>
        <r>
          <rPr>
            <sz val="10"/>
            <color rgb="FF000000"/>
            <rFont val="Aptos Narrow"/>
          </rPr>
          <t xml:space="preserve">7. 6 Pesukim
</t>
        </r>
        <r>
          <rPr>
            <sz val="10"/>
            <color rgb="FF000000"/>
            <rFont val="Aptos Narrow"/>
          </rPr>
          <t>Haftorah: 12 Pesukim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Korman</author>
  </authors>
  <commentList>
    <comment ref="A3" authorId="0" shapeId="0" xr:uid="{EED254CB-7837-F148-90E1-C463B5557C14}">
      <text>
        <r>
          <rPr>
            <b/>
            <sz val="10"/>
            <color rgb="FF000000"/>
            <rFont val="Aptos Narrow"/>
          </rPr>
          <t xml:space="preserve">Parsha Details: 
</t>
        </r>
        <r>
          <rPr>
            <i/>
            <sz val="10"/>
            <color rgb="FF000000"/>
            <rFont val="Aptos Narrow"/>
          </rPr>
          <t xml:space="preserve">124 Pesukim
</t>
        </r>
        <r>
          <rPr>
            <sz val="10"/>
            <color rgb="FF000000"/>
            <rFont val="Aptos Narrow"/>
          </rPr>
          <t xml:space="preserve">1. 17 Pesukim 
</t>
        </r>
        <r>
          <rPr>
            <sz val="10"/>
            <color rgb="FF000000"/>
            <rFont val="Aptos Narrow"/>
          </rPr>
          <t xml:space="preserve">2. 15 Pesukim
</t>
        </r>
        <r>
          <rPr>
            <sz val="10"/>
            <color rgb="FF000000"/>
            <rFont val="Aptos Narrow"/>
          </rPr>
          <t xml:space="preserve">3. 15 Pesukim
</t>
        </r>
        <r>
          <rPr>
            <sz val="10"/>
            <color rgb="FF000000"/>
            <rFont val="Aptos Narrow"/>
          </rPr>
          <t xml:space="preserve">4. 15 Pesukim
</t>
        </r>
        <r>
          <rPr>
            <sz val="10"/>
            <color rgb="FF000000"/>
            <rFont val="Aptos Narrow"/>
          </rPr>
          <t xml:space="preserve">5. 24 Pesukim
</t>
        </r>
        <r>
          <rPr>
            <sz val="10"/>
            <color rgb="FF000000"/>
            <rFont val="Aptos Narrow"/>
          </rPr>
          <t xml:space="preserve">6. 14 Pesukim
</t>
        </r>
        <r>
          <rPr>
            <sz val="10"/>
            <color rgb="FF000000"/>
            <rFont val="Aptos Narrow"/>
          </rPr>
          <t xml:space="preserve">7. 24 Pesukim
</t>
        </r>
        <r>
          <rPr>
            <sz val="10"/>
            <color rgb="FF000000"/>
            <rFont val="Aptos Narrow"/>
          </rPr>
          <t>Haftorah: 23 Pesukim</t>
        </r>
      </text>
    </comment>
    <comment ref="A4" authorId="0" shapeId="0" xr:uid="{C2B4F47D-3A61-5546-A727-53E8CBB745A2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121 Pesukim
</t>
        </r>
        <r>
          <rPr>
            <sz val="10"/>
            <color rgb="FF000000"/>
            <rFont val="Aptos Narrow"/>
          </rPr>
          <t xml:space="preserve">1. 12 Pesukim 
</t>
        </r>
        <r>
          <rPr>
            <sz val="10"/>
            <color rgb="FF000000"/>
            <rFont val="Aptos Narrow"/>
          </rPr>
          <t xml:space="preserve">2. 15 Pesukim
</t>
        </r>
        <r>
          <rPr>
            <sz val="10"/>
            <color rgb="FF000000"/>
            <rFont val="Aptos Narrow"/>
          </rPr>
          <t xml:space="preserve">3. 9 Pesukim
</t>
        </r>
        <r>
          <rPr>
            <sz val="10"/>
            <color rgb="FF000000"/>
            <rFont val="Aptos Narrow"/>
          </rPr>
          <t xml:space="preserve">4. 28 Pesukim
</t>
        </r>
        <r>
          <rPr>
            <sz val="10"/>
            <color rgb="FF000000"/>
            <rFont val="Aptos Narrow"/>
          </rPr>
          <t xml:space="preserve">5. 12 Pesukim
</t>
        </r>
        <r>
          <rPr>
            <sz val="10"/>
            <color rgb="FF000000"/>
            <rFont val="Aptos Narrow"/>
          </rPr>
          <t xml:space="preserve">6. 26 Pesukim
</t>
        </r>
        <r>
          <rPr>
            <sz val="10"/>
            <color rgb="FF000000"/>
            <rFont val="Aptos Narrow"/>
          </rPr>
          <t xml:space="preserve">7. 29 Pesukim
</t>
        </r>
        <r>
          <rPr>
            <sz val="10"/>
            <color rgb="FF000000"/>
            <rFont val="Aptos Narrow"/>
          </rPr>
          <t>Haftorah: 23 Pesukim</t>
        </r>
      </text>
    </comment>
    <comment ref="A5" authorId="0" shapeId="0" xr:uid="{AD4F6CA7-BB89-8E4C-B60B-A568557B6756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106 Pesukim
</t>
        </r>
        <r>
          <rPr>
            <sz val="10"/>
            <color rgb="FF000000"/>
            <rFont val="Aptos Narrow"/>
          </rPr>
          <t xml:space="preserve">1. 11 Pesukim 
</t>
        </r>
        <r>
          <rPr>
            <sz val="10"/>
            <color rgb="FF000000"/>
            <rFont val="Aptos Narrow"/>
          </rPr>
          <t xml:space="preserve">2. 12 Pesukim
</t>
        </r>
        <r>
          <rPr>
            <sz val="10"/>
            <color rgb="FF000000"/>
            <rFont val="Aptos Narrow"/>
          </rPr>
          <t xml:space="preserve">3. 9 Pesukim
</t>
        </r>
        <r>
          <rPr>
            <sz val="10"/>
            <color rgb="FF000000"/>
            <rFont val="Aptos Narrow"/>
          </rPr>
          <t xml:space="preserve">4. 27 Pesukim
</t>
        </r>
        <r>
          <rPr>
            <sz val="10"/>
            <color rgb="FF000000"/>
            <rFont val="Aptos Narrow"/>
          </rPr>
          <t xml:space="preserve">5. 8 Pesukim
</t>
        </r>
        <r>
          <rPr>
            <sz val="10"/>
            <color rgb="FF000000"/>
            <rFont val="Aptos Narrow"/>
          </rPr>
          <t xml:space="preserve">6. 23 Pesukim
</t>
        </r>
        <r>
          <rPr>
            <sz val="10"/>
            <color rgb="FF000000"/>
            <rFont val="Aptos Narrow"/>
          </rPr>
          <t xml:space="preserve">7. 16 Pesukim
</t>
        </r>
        <r>
          <rPr>
            <sz val="10"/>
            <color rgb="FF000000"/>
            <rFont val="Aptos Narrow"/>
          </rPr>
          <t>Haftorah: 16 Pesukim</t>
        </r>
      </text>
    </comment>
    <comment ref="F5" authorId="0" shapeId="0" xr:uid="{907FA346-7596-8143-9C42-003B0446F1CD}">
      <text>
        <r>
          <rPr>
            <b/>
            <sz val="10"/>
            <color rgb="FF000000"/>
            <rFont val="Tahoma"/>
            <family val="2"/>
          </rPr>
          <t>פרשת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Tahoma"/>
            <family val="2"/>
          </rPr>
          <t>החודש</t>
        </r>
      </text>
    </comment>
    <comment ref="A6" authorId="0" shapeId="0" xr:uid="{1A96C968-6E2B-6941-BFBA-3B0C3795F63A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116 Pesukim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6 Pesukim
</t>
        </r>
        <r>
          <rPr>
            <sz val="10"/>
            <color rgb="FF000000"/>
            <rFont val="Aptos Narrow"/>
          </rPr>
          <t xml:space="preserve">3. 11 Pesukim
</t>
        </r>
        <r>
          <rPr>
            <sz val="10"/>
            <color rgb="FF000000"/>
            <rFont val="Aptos Narrow"/>
          </rPr>
          <t xml:space="preserve">4. 32 Pesukim
</t>
        </r>
        <r>
          <rPr>
            <sz val="10"/>
            <color rgb="FF000000"/>
            <rFont val="Aptos Narrow"/>
          </rPr>
          <t xml:space="preserve">5. 11 Pesukim
</t>
        </r>
        <r>
          <rPr>
            <sz val="10"/>
            <color rgb="FF000000"/>
            <rFont val="Aptos Narrow"/>
          </rPr>
          <t xml:space="preserve">6. 26 Pesukim
</t>
        </r>
        <r>
          <rPr>
            <sz val="10"/>
            <color rgb="FF000000"/>
            <rFont val="Aptos Narrow"/>
          </rPr>
          <t xml:space="preserve">7. 16 Pesukim
</t>
        </r>
        <r>
          <rPr>
            <sz val="10"/>
            <color rgb="FF000000"/>
            <rFont val="Aptos Narrow"/>
          </rPr>
          <t>Haftorah: 52 Pesukim</t>
        </r>
      </text>
    </comment>
    <comment ref="F6" authorId="0" shapeId="0" xr:uid="{60749C09-51F1-2043-B038-94158867BE10}">
      <text>
        <r>
          <rPr>
            <b/>
            <sz val="10"/>
            <color rgb="FF000000"/>
            <rFont val="Tahoma"/>
            <family val="2"/>
          </rPr>
          <t>שירת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Tahoma"/>
            <family val="2"/>
          </rPr>
          <t>הים</t>
        </r>
      </text>
    </comment>
    <comment ref="A7" authorId="0" shapeId="0" xr:uid="{B9A06DC9-D795-5041-9C8E-15F689B8C6F7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sz val="10"/>
            <color rgb="FF000000"/>
            <rFont val="Aptos Narrow"/>
          </rPr>
          <t xml:space="preserve">75 Pesukim
</t>
        </r>
        <r>
          <rPr>
            <sz val="10"/>
            <color rgb="FF000000"/>
            <rFont val="Aptos Narrow"/>
          </rPr>
          <t xml:space="preserve">1. 12 Pesukim 
</t>
        </r>
        <r>
          <rPr>
            <sz val="10"/>
            <color rgb="FF000000"/>
            <rFont val="Aptos Narrow"/>
          </rPr>
          <t xml:space="preserve">2. 11 Pesukim
</t>
        </r>
        <r>
          <rPr>
            <sz val="10"/>
            <color rgb="FF000000"/>
            <rFont val="Aptos Narrow"/>
          </rPr>
          <t xml:space="preserve">3. 4 Pesukim
</t>
        </r>
        <r>
          <rPr>
            <sz val="10"/>
            <color rgb="FF000000"/>
            <rFont val="Aptos Narrow"/>
          </rPr>
          <t xml:space="preserve">4. 6 Pesukim
</t>
        </r>
        <r>
          <rPr>
            <sz val="10"/>
            <color rgb="FF000000"/>
            <rFont val="Aptos Narrow"/>
          </rPr>
          <t xml:space="preserve">5. 13 Pesukim
</t>
        </r>
        <r>
          <rPr>
            <sz val="10"/>
            <color rgb="FF000000"/>
            <rFont val="Aptos Narrow"/>
          </rPr>
          <t xml:space="preserve">6. 20 Pesukim
</t>
        </r>
        <r>
          <rPr>
            <sz val="10"/>
            <color rgb="FF000000"/>
            <rFont val="Aptos Narrow"/>
          </rPr>
          <t xml:space="preserve">7. 9 Pesukim
</t>
        </r>
        <r>
          <rPr>
            <sz val="10"/>
            <color rgb="FF000000"/>
            <rFont val="Aptos Narrow"/>
          </rPr>
          <t>Haftorah: 21 Pesukim</t>
        </r>
      </text>
    </comment>
    <comment ref="H7" authorId="0" shapeId="0" xr:uid="{B2330741-8D03-5D47-BDBC-BB689286A92A}">
      <text>
        <r>
          <rPr>
            <b/>
            <sz val="10"/>
            <color rgb="FF000000"/>
            <rFont val="Tahoma"/>
            <family val="2"/>
          </rPr>
          <t>עשרת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Tahoma"/>
            <family val="2"/>
          </rPr>
          <t>הדברות</t>
        </r>
      </text>
    </comment>
    <comment ref="A8" authorId="0" shapeId="0" xr:uid="{5CDFDDA4-AE93-934F-96C7-9EA49C6B153A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118 Pesukim
</t>
        </r>
        <r>
          <rPr>
            <sz val="10"/>
            <color rgb="FF000000"/>
            <rFont val="Aptos Narrow"/>
          </rPr>
          <t xml:space="preserve">1. 19 Pesukim 
</t>
        </r>
        <r>
          <rPr>
            <sz val="10"/>
            <color rgb="FF000000"/>
            <rFont val="Aptos Narrow"/>
          </rPr>
          <t xml:space="preserve">2. 21 Pesukim
</t>
        </r>
        <r>
          <rPr>
            <sz val="10"/>
            <color rgb="FF000000"/>
            <rFont val="Aptos Narrow"/>
          </rPr>
          <t xml:space="preserve">3. 23 Pesukim
</t>
        </r>
        <r>
          <rPr>
            <sz val="10"/>
            <color rgb="FF000000"/>
            <rFont val="Aptos Narrow"/>
          </rPr>
          <t xml:space="preserve">4. 9 Pesukim
</t>
        </r>
        <r>
          <rPr>
            <sz val="10"/>
            <color rgb="FF000000"/>
            <rFont val="Aptos Narrow"/>
          </rPr>
          <t xml:space="preserve">5. 14 Pesukim
</t>
        </r>
        <r>
          <rPr>
            <sz val="10"/>
            <color rgb="FF000000"/>
            <rFont val="Aptos Narrow"/>
          </rPr>
          <t xml:space="preserve">6. 6 Pesukim
</t>
        </r>
        <r>
          <rPr>
            <sz val="10"/>
            <color rgb="FF000000"/>
            <rFont val="Aptos Narrow"/>
          </rPr>
          <t xml:space="preserve">7. 26 Pesukim
</t>
        </r>
        <r>
          <rPr>
            <sz val="10"/>
            <color rgb="FF000000"/>
            <rFont val="Aptos Narrow"/>
          </rPr>
          <t>Haftorah: 17 Pesukim</t>
        </r>
      </text>
    </comment>
    <comment ref="A9" authorId="0" shapeId="0" xr:uid="{72C1DFB1-7A79-C646-8DA1-1346A575A5EB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96 Pesukim
</t>
        </r>
        <r>
          <rPr>
            <sz val="10"/>
            <color rgb="FF000000"/>
            <rFont val="Aptos Narrow"/>
          </rPr>
          <t xml:space="preserve">1. 16 Pesukim 
</t>
        </r>
        <r>
          <rPr>
            <sz val="10"/>
            <color rgb="FF000000"/>
            <rFont val="Aptos Narrow"/>
          </rPr>
          <t xml:space="preserve">2. 14 Pesukim
</t>
        </r>
        <r>
          <rPr>
            <sz val="10"/>
            <color rgb="FF000000"/>
            <rFont val="Aptos Narrow"/>
          </rPr>
          <t xml:space="preserve">3. 24 Pesukim
</t>
        </r>
        <r>
          <rPr>
            <sz val="10"/>
            <color rgb="FF000000"/>
            <rFont val="Aptos Narrow"/>
          </rPr>
          <t xml:space="preserve">4. 16 Pesukim
</t>
        </r>
        <r>
          <rPr>
            <sz val="10"/>
            <color rgb="FF000000"/>
            <rFont val="Aptos Narrow"/>
          </rPr>
          <t xml:space="preserve">5. 7 Pesukim
</t>
        </r>
        <r>
          <rPr>
            <sz val="10"/>
            <color rgb="FF000000"/>
            <rFont val="Aptos Narrow"/>
          </rPr>
          <t xml:space="preserve">6. 8 Pesukim
</t>
        </r>
        <r>
          <rPr>
            <sz val="10"/>
            <color rgb="FF000000"/>
            <rFont val="Aptos Narrow"/>
          </rPr>
          <t xml:space="preserve">7. 11 Pesukim
</t>
        </r>
        <r>
          <rPr>
            <sz val="10"/>
            <color rgb="FF000000"/>
            <rFont val="Aptos Narrow"/>
          </rPr>
          <t>Haftorah: 20 Pesukim</t>
        </r>
      </text>
    </comment>
    <comment ref="A10" authorId="0" shapeId="0" xr:uid="{BFF17236-CF4D-D44C-9ED6-702563EB2C7B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101 Pesukim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18 Pesukim
</t>
        </r>
        <r>
          <rPr>
            <sz val="10"/>
            <color rgb="FF000000"/>
            <rFont val="Aptos Narrow"/>
          </rPr>
          <t xml:space="preserve">3. 13 Pesukim
</t>
        </r>
        <r>
          <rPr>
            <sz val="10"/>
            <color rgb="FF000000"/>
            <rFont val="Aptos Narrow"/>
          </rPr>
          <t xml:space="preserve">4. 18 Pesukim
</t>
        </r>
        <r>
          <rPr>
            <sz val="10"/>
            <color rgb="FF000000"/>
            <rFont val="Aptos Narrow"/>
          </rPr>
          <t xml:space="preserve">5. 19 Pesukim
</t>
        </r>
        <r>
          <rPr>
            <sz val="10"/>
            <color rgb="FF000000"/>
            <rFont val="Aptos Narrow"/>
          </rPr>
          <t xml:space="preserve">6. 9 Pesukim
</t>
        </r>
        <r>
          <rPr>
            <sz val="10"/>
            <color rgb="FF000000"/>
            <rFont val="Aptos Narrow"/>
          </rPr>
          <t xml:space="preserve">7. 10 Pesukim
</t>
        </r>
        <r>
          <rPr>
            <sz val="10"/>
            <color rgb="FF000000"/>
            <rFont val="Aptos Narrow"/>
          </rPr>
          <t>Haftorah: 18 Pesukim</t>
        </r>
      </text>
    </comment>
    <comment ref="A11" authorId="0" shapeId="0" xr:uid="{1DA8E629-6162-B443-A765-77D7A07E554A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139 Pesukim
</t>
        </r>
        <r>
          <rPr>
            <sz val="10"/>
            <color rgb="FF000000"/>
            <rFont val="Aptos Narrow"/>
          </rPr>
          <t xml:space="preserve">1. 45 Pesukim 
</t>
        </r>
        <r>
          <rPr>
            <sz val="10"/>
            <color rgb="FF000000"/>
            <rFont val="Aptos Narrow"/>
          </rPr>
          <t xml:space="preserve">2. 47 Pesukim
</t>
        </r>
        <r>
          <rPr>
            <sz val="10"/>
            <color rgb="FF000000"/>
            <rFont val="Aptos Narrow"/>
          </rPr>
          <t xml:space="preserve">3. 5 Pesukim
</t>
        </r>
        <r>
          <rPr>
            <sz val="10"/>
            <color rgb="FF000000"/>
            <rFont val="Aptos Narrow"/>
          </rPr>
          <t xml:space="preserve">4. 7 Pesukim
</t>
        </r>
        <r>
          <rPr>
            <sz val="10"/>
            <color rgb="FF000000"/>
            <rFont val="Aptos Narrow"/>
          </rPr>
          <t xml:space="preserve">5. 9 Pesukim
</t>
        </r>
        <r>
          <rPr>
            <sz val="10"/>
            <color rgb="FF000000"/>
            <rFont val="Aptos Narrow"/>
          </rPr>
          <t xml:space="preserve">6. 17 Pesukim
</t>
        </r>
        <r>
          <rPr>
            <sz val="10"/>
            <color rgb="FF000000"/>
            <rFont val="Aptos Narrow"/>
          </rPr>
          <t xml:space="preserve">7. 9 Pesukim
</t>
        </r>
        <r>
          <rPr>
            <sz val="10"/>
            <color rgb="FF000000"/>
            <rFont val="Aptos Narrow"/>
          </rPr>
          <t>Haftorah: 39 Pesukim</t>
        </r>
      </text>
    </comment>
    <comment ref="D11" authorId="0" shapeId="0" xr:uid="{EA657A9D-FA3B-B14A-82B4-53A9D065D437}">
      <text>
        <r>
          <rPr>
            <b/>
            <sz val="10"/>
            <color rgb="FF000000"/>
            <rFont val="Tahoma"/>
            <family val="2"/>
          </rPr>
          <t>חטא העגל</t>
        </r>
      </text>
    </comment>
    <comment ref="A12" authorId="0" shapeId="0" xr:uid="{AFA0B1FB-466A-0441-88A1-79D2530E6124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122 Pesukim
</t>
        </r>
        <r>
          <rPr>
            <sz val="10"/>
            <color rgb="FF000000"/>
            <rFont val="Aptos Narrow"/>
          </rPr>
          <t xml:space="preserve">1. 20 Pesukim 
</t>
        </r>
        <r>
          <rPr>
            <sz val="10"/>
            <color rgb="FF000000"/>
            <rFont val="Aptos Narrow"/>
          </rPr>
          <t xml:space="preserve">2. 9 Pesukim
</t>
        </r>
        <r>
          <rPr>
            <sz val="10"/>
            <color rgb="FF000000"/>
            <rFont val="Aptos Narrow"/>
          </rPr>
          <t xml:space="preserve">3. 13 Pesukim
</t>
        </r>
        <r>
          <rPr>
            <sz val="10"/>
            <color rgb="FF000000"/>
            <rFont val="Aptos Narrow"/>
          </rPr>
          <t xml:space="preserve">4. 12 Pesukim
</t>
        </r>
        <r>
          <rPr>
            <sz val="10"/>
            <color rgb="FF000000"/>
            <rFont val="Aptos Narrow"/>
          </rPr>
          <t xml:space="preserve">5. 35 Pesukim
</t>
        </r>
        <r>
          <rPr>
            <sz val="10"/>
            <color rgb="FF000000"/>
            <rFont val="Aptos Narrow"/>
          </rPr>
          <t xml:space="preserve">6. 13 Pesukim
</t>
        </r>
        <r>
          <rPr>
            <sz val="10"/>
            <color rgb="FF000000"/>
            <rFont val="Aptos Narrow"/>
          </rPr>
          <t xml:space="preserve">7. 20 Pesukim
</t>
        </r>
        <r>
          <rPr>
            <sz val="10"/>
            <color rgb="FF000000"/>
            <rFont val="Aptos Narrow"/>
          </rPr>
          <t>Haftorah: 11 Pesukim</t>
        </r>
      </text>
    </comment>
    <comment ref="A13" authorId="0" shapeId="0" xr:uid="{232BF653-C90B-4B41-80A5-04E6979C5F41}">
      <text>
        <r>
          <rPr>
            <b/>
            <sz val="10"/>
            <color rgb="FF000000"/>
            <rFont val="Aptos Narrow"/>
          </rPr>
          <t xml:space="preserve">Parsha Details:
</t>
        </r>
        <r>
          <rPr>
            <i/>
            <sz val="10"/>
            <color rgb="FF000000"/>
            <rFont val="Aptos Narrow"/>
          </rPr>
          <t xml:space="preserve">92 Pesukim
</t>
        </r>
        <r>
          <rPr>
            <sz val="10"/>
            <color rgb="FF000000"/>
            <rFont val="Aptos Narrow"/>
          </rPr>
          <t xml:space="preserve">1. 12 Pesukim 
</t>
        </r>
        <r>
          <rPr>
            <sz val="10"/>
            <color rgb="FF000000"/>
            <rFont val="Aptos Narrow"/>
          </rPr>
          <t xml:space="preserve">2. 20 Pesukim
</t>
        </r>
        <r>
          <rPr>
            <sz val="10"/>
            <color rgb="FF000000"/>
            <rFont val="Aptos Narrow"/>
          </rPr>
          <t xml:space="preserve">3. 11 Pesukim
</t>
        </r>
        <r>
          <rPr>
            <sz val="10"/>
            <color rgb="FF000000"/>
            <rFont val="Aptos Narrow"/>
          </rPr>
          <t xml:space="preserve">4. 11 Pesukim
</t>
        </r>
        <r>
          <rPr>
            <sz val="10"/>
            <color rgb="FF000000"/>
            <rFont val="Aptos Narrow"/>
          </rPr>
          <t xml:space="preserve">5. 16 Pesukim
</t>
        </r>
        <r>
          <rPr>
            <sz val="10"/>
            <color rgb="FF000000"/>
            <rFont val="Aptos Narrow"/>
          </rPr>
          <t xml:space="preserve">6. 11 Pesukim
</t>
        </r>
        <r>
          <rPr>
            <sz val="10"/>
            <color rgb="FF000000"/>
            <rFont val="Aptos Narrow"/>
          </rPr>
          <t xml:space="preserve">7. 11 Pesukim
</t>
        </r>
        <r>
          <rPr>
            <sz val="10"/>
            <color rgb="FF000000"/>
            <rFont val="Aptos Narrow"/>
          </rPr>
          <t>Haftorah: 22 Pesukim</t>
        </r>
      </text>
    </comment>
    <comment ref="A14" authorId="0" shapeId="0" xr:uid="{C42F8E9F-4708-4946-86F5-F1F5B3F78AC0}">
      <text>
        <r>
          <rPr>
            <b/>
            <sz val="10"/>
            <color rgb="FF000000"/>
            <rFont val="Aptos Narrow"/>
          </rPr>
          <t xml:space="preserve">Double-Parsha Details:
</t>
        </r>
        <r>
          <rPr>
            <i/>
            <sz val="10"/>
            <color rgb="FF000000"/>
            <rFont val="Aptos Narrow"/>
          </rPr>
          <t xml:space="preserve">214 Pesukim
</t>
        </r>
        <r>
          <rPr>
            <sz val="10"/>
            <color rgb="FF000000"/>
            <rFont val="Aptos Narrow"/>
          </rPr>
          <t xml:space="preserve">1. 29 Pesukim 
</t>
        </r>
        <r>
          <rPr>
            <sz val="10"/>
            <color rgb="FF000000"/>
            <rFont val="Aptos Narrow"/>
          </rPr>
          <t xml:space="preserve">2. 60 Pesukim
</t>
        </r>
        <r>
          <rPr>
            <sz val="10"/>
            <color rgb="FF000000"/>
            <rFont val="Aptos Narrow"/>
          </rPr>
          <t xml:space="preserve">3. 13 Pesukim
</t>
        </r>
        <r>
          <rPr>
            <sz val="10"/>
            <color rgb="FF000000"/>
            <rFont val="Aptos Narrow"/>
          </rPr>
          <t xml:space="preserve">4. 32 Pesukim
</t>
        </r>
        <r>
          <rPr>
            <sz val="10"/>
            <color rgb="FF000000"/>
            <rFont val="Aptos Narrow"/>
          </rPr>
          <t xml:space="preserve">5. 20 Pesukim
</t>
        </r>
        <r>
          <rPr>
            <sz val="10"/>
            <color rgb="FF000000"/>
            <rFont val="Aptos Narrow"/>
          </rPr>
          <t xml:space="preserve">6. 22 Pesukim
</t>
        </r>
        <r>
          <rPr>
            <sz val="10"/>
            <color rgb="FF000000"/>
            <rFont val="Aptos Narrow"/>
          </rPr>
          <t xml:space="preserve">7. 38 Pesukim
</t>
        </r>
        <r>
          <rPr>
            <sz val="10"/>
            <color rgb="FF000000"/>
            <rFont val="Aptos Narrow"/>
          </rPr>
          <t>Haftorah: 22 Pesukim</t>
        </r>
      </text>
    </comment>
    <comment ref="J14" authorId="0" shapeId="0" xr:uid="{1311EB2F-138F-5442-A4F7-6BF3EF16527E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פקודי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Korman</author>
  </authors>
  <commentList>
    <comment ref="A3" authorId="0" shapeId="0" xr:uid="{2E0794D0-7719-A142-8B8E-4A54CBB48405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111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13 Pesukim 
</t>
        </r>
        <r>
          <rPr>
            <sz val="10"/>
            <color rgb="FF000000"/>
            <rFont val="Aptos Narrow"/>
          </rPr>
          <t xml:space="preserve">2. 10 Pesukim
</t>
        </r>
        <r>
          <rPr>
            <sz val="10"/>
            <color rgb="FF000000"/>
            <rFont val="Aptos Narrow"/>
          </rPr>
          <t xml:space="preserve">3. 10 Pesukim
</t>
        </r>
        <r>
          <rPr>
            <sz val="10"/>
            <color rgb="FF000000"/>
            <rFont val="Aptos Narrow"/>
          </rPr>
          <t xml:space="preserve">4. 14 Pesukim
</t>
        </r>
        <r>
          <rPr>
            <sz val="10"/>
            <color rgb="FF000000"/>
            <rFont val="Aptos Narrow"/>
          </rPr>
          <t xml:space="preserve">5. 26 Pesukim
</t>
        </r>
        <r>
          <rPr>
            <sz val="10"/>
            <color rgb="FF000000"/>
            <rFont val="Aptos Narrow"/>
          </rPr>
          <t xml:space="preserve">6. 19 Pesukim
</t>
        </r>
        <r>
          <rPr>
            <sz val="10"/>
            <color rgb="FF000000"/>
            <rFont val="Aptos Narrow"/>
          </rPr>
          <t xml:space="preserve">7. 19 Pesukim
</t>
        </r>
        <r>
          <rPr>
            <sz val="10"/>
            <color rgb="FF000000"/>
            <rFont val="Aptos Narrow"/>
          </rPr>
          <t>Haftorah: 31 Pesukim</t>
        </r>
      </text>
    </comment>
    <comment ref="C3" authorId="0" shapeId="0" xr:uid="{FC195C72-FDE5-7947-9500-C62C3BABFBB6}">
      <text>
        <r>
          <rPr>
            <b/>
            <sz val="10"/>
            <color rgb="FF000000"/>
            <rFont val="Tahoma"/>
            <family val="2"/>
          </rPr>
          <t>Joseph Korman: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4" authorId="0" shapeId="0" xr:uid="{7DE0EC28-A448-4E49-9BC0-7D4472F65E08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97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11 Pesukim 
</t>
        </r>
        <r>
          <rPr>
            <sz val="10"/>
            <color rgb="FF000000"/>
            <rFont val="Aptos Narrow"/>
          </rPr>
          <t xml:space="preserve">2. 22 Pesukim
</t>
        </r>
        <r>
          <rPr>
            <sz val="10"/>
            <color rgb="FF000000"/>
            <rFont val="Aptos Narrow"/>
          </rPr>
          <t xml:space="preserve">3. 28 Pesukim
</t>
        </r>
        <r>
          <rPr>
            <sz val="10"/>
            <color rgb="FF000000"/>
            <rFont val="Aptos Narrow"/>
          </rPr>
          <t xml:space="preserve">4. 13 Pesukim
</t>
        </r>
        <r>
          <rPr>
            <sz val="10"/>
            <color rgb="FF000000"/>
            <rFont val="Aptos Narrow"/>
          </rPr>
          <t xml:space="preserve">5. 8 Pesukim
</t>
        </r>
        <r>
          <rPr>
            <sz val="10"/>
            <color rgb="FF000000"/>
            <rFont val="Aptos Narrow"/>
          </rPr>
          <t xml:space="preserve">6. 8 Pesukim
</t>
        </r>
        <r>
          <rPr>
            <sz val="10"/>
            <color rgb="FF000000"/>
            <rFont val="Aptos Narrow"/>
          </rPr>
          <t xml:space="preserve">7. 7 Pesukim
</t>
        </r>
        <r>
          <rPr>
            <sz val="10"/>
            <color rgb="FF000000"/>
            <rFont val="Aptos Narrow"/>
          </rPr>
          <t>Haftorah: 19 Pesukim</t>
        </r>
      </text>
    </comment>
    <comment ref="H4" authorId="0" shapeId="0" xr:uid="{5AFDC32B-EBCA-3D4A-BAC6-D8B6CD791276}">
      <text>
        <r>
          <rPr>
            <b/>
            <sz val="10"/>
            <color rgb="FF000000"/>
            <rFont val="Aptos Narrow"/>
          </rPr>
          <t xml:space="preserve">Has a </t>
        </r>
        <r>
          <rPr>
            <b/>
            <sz val="10"/>
            <color rgb="FF000000"/>
            <rFont val="Aptos Narrow"/>
          </rPr>
          <t>שלשלת</t>
        </r>
      </text>
    </comment>
    <comment ref="A5" authorId="0" shapeId="0" xr:uid="{18B40BBB-86B3-4F4E-83A9-1CB773C4A9E1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91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16 Pesukim 
</t>
        </r>
        <r>
          <rPr>
            <sz val="10"/>
            <color rgb="FF000000"/>
            <rFont val="Aptos Narrow"/>
          </rPr>
          <t xml:space="preserve">2. 17 Pesukim
</t>
        </r>
        <r>
          <rPr>
            <sz val="10"/>
            <color rgb="FF000000"/>
            <rFont val="Aptos Narrow"/>
          </rPr>
          <t xml:space="preserve">3. 12 Pesukim
</t>
        </r>
        <r>
          <rPr>
            <sz val="10"/>
            <color rgb="FF000000"/>
            <rFont val="Aptos Narrow"/>
          </rPr>
          <t xml:space="preserve">4. 4 Pesukim
</t>
        </r>
        <r>
          <rPr>
            <sz val="10"/>
            <color rgb="FF000000"/>
            <rFont val="Aptos Narrow"/>
          </rPr>
          <t xml:space="preserve">5. 5 Pesukim
</t>
        </r>
        <r>
          <rPr>
            <sz val="10"/>
            <color rgb="FF000000"/>
            <rFont val="Aptos Narrow"/>
          </rPr>
          <t xml:space="preserve">6. 32 Pesukim
</t>
        </r>
        <r>
          <rPr>
            <sz val="10"/>
            <color rgb="FF000000"/>
            <rFont val="Aptos Narrow"/>
          </rPr>
          <t xml:space="preserve">7. 15 Pesukim
</t>
        </r>
        <r>
          <rPr>
            <sz val="10"/>
            <color rgb="FF000000"/>
            <rFont val="Aptos Narrow"/>
          </rPr>
          <t>Haftorah: 40 Pesukim</t>
        </r>
      </text>
    </comment>
    <comment ref="A6" authorId="0" shapeId="0" xr:uid="{5FA2FE05-C453-EB43-A289-AE98409471B3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67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13 Pesukim 
</t>
        </r>
        <r>
          <rPr>
            <sz val="10"/>
            <color rgb="FF000000"/>
            <rFont val="Aptos Narrow"/>
          </rPr>
          <t xml:space="preserve">2. 12 Pesukim
</t>
        </r>
        <r>
          <rPr>
            <sz val="10"/>
            <color rgb="FF000000"/>
            <rFont val="Aptos Narrow"/>
          </rPr>
          <t xml:space="preserve">3. 6 Pesukim
</t>
        </r>
        <r>
          <rPr>
            <sz val="10"/>
            <color rgb="FF000000"/>
            <rFont val="Aptos Narrow"/>
          </rPr>
          <t xml:space="preserve">4. 5 Pesukim
</t>
        </r>
        <r>
          <rPr>
            <sz val="10"/>
            <color rgb="FF000000"/>
            <rFont val="Aptos Narrow"/>
          </rPr>
          <t xml:space="preserve">5. 11 Pesukim
</t>
        </r>
        <r>
          <rPr>
            <sz val="10"/>
            <color rgb="FF000000"/>
            <rFont val="Aptos Narrow"/>
          </rPr>
          <t xml:space="preserve">6. 15 Pesukim
</t>
        </r>
        <r>
          <rPr>
            <sz val="10"/>
            <color rgb="FF000000"/>
            <rFont val="Aptos Narrow"/>
          </rPr>
          <t xml:space="preserve">7. 5 Pesukim
</t>
        </r>
        <r>
          <rPr>
            <sz val="10"/>
            <color rgb="FF000000"/>
            <rFont val="Aptos Narrow"/>
          </rPr>
          <t>Haftorah: 22 Pesukim</t>
        </r>
      </text>
    </comment>
    <comment ref="A7" authorId="0" shapeId="0" xr:uid="{166771D6-075B-B049-9C63-0EDC6504AE96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90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12 Pesukim 
</t>
        </r>
        <r>
          <rPr>
            <sz val="10"/>
            <color rgb="FF000000"/>
            <rFont val="Aptos Narrow"/>
          </rPr>
          <t xml:space="preserve">2. 8 Pesukim
</t>
        </r>
        <r>
          <rPr>
            <sz val="10"/>
            <color rgb="FF000000"/>
            <rFont val="Aptos Narrow"/>
          </rPr>
          <t xml:space="preserve">3. 12 Pesukim
</t>
        </r>
        <r>
          <rPr>
            <sz val="10"/>
            <color rgb="FF000000"/>
            <rFont val="Aptos Narrow"/>
          </rPr>
          <t xml:space="preserve">4. 21 Pesukim
</t>
        </r>
        <r>
          <rPr>
            <sz val="10"/>
            <color rgb="FF000000"/>
            <rFont val="Aptos Narrow"/>
          </rPr>
          <t xml:space="preserve">5. 19 Pesukim
</t>
        </r>
        <r>
          <rPr>
            <sz val="10"/>
            <color rgb="FF000000"/>
            <rFont val="Aptos Narrow"/>
          </rPr>
          <t xml:space="preserve">6. 13 Pesukim
</t>
        </r>
        <r>
          <rPr>
            <sz val="10"/>
            <color rgb="FF000000"/>
            <rFont val="Aptos Narrow"/>
          </rPr>
          <t xml:space="preserve">7. 5 Pesukim
</t>
        </r>
        <r>
          <rPr>
            <sz val="10"/>
            <color rgb="FF000000"/>
            <rFont val="Aptos Narrow"/>
          </rPr>
          <t>Haftorah: 18 Pesukim</t>
        </r>
      </text>
    </comment>
    <comment ref="A8" authorId="0" shapeId="0" xr:uid="{045553BF-348B-694C-8547-7B02F5AF7763}">
      <text>
        <r>
          <rPr>
            <b/>
            <sz val="10"/>
            <color rgb="FF000000"/>
            <rFont val="Aptos Narrow"/>
          </rPr>
          <t>Double-Parsha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157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31 Pesukim 
</t>
        </r>
        <r>
          <rPr>
            <sz val="10"/>
            <color rgb="FF000000"/>
            <rFont val="Aptos Narrow"/>
          </rPr>
          <t xml:space="preserve">2. 16 Pesukim
</t>
        </r>
        <r>
          <rPr>
            <sz val="10"/>
            <color rgb="FF000000"/>
            <rFont val="Aptos Narrow"/>
          </rPr>
          <t xml:space="preserve">3. 15 Pesukim
</t>
        </r>
        <r>
          <rPr>
            <sz val="10"/>
            <color rgb="FF000000"/>
            <rFont val="Aptos Narrow"/>
          </rPr>
          <t xml:space="preserve">4. 25 Pesukim
</t>
        </r>
        <r>
          <rPr>
            <sz val="10"/>
            <color rgb="FF000000"/>
            <rFont val="Aptos Narrow"/>
          </rPr>
          <t xml:space="preserve">5. 12 Pesukim
</t>
        </r>
        <r>
          <rPr>
            <sz val="10"/>
            <color rgb="FF000000"/>
            <rFont val="Aptos Narrow"/>
          </rPr>
          <t xml:space="preserve">6. 40 Pesukim
</t>
        </r>
        <r>
          <rPr>
            <sz val="10"/>
            <color rgb="FF000000"/>
            <rFont val="Aptos Narrow"/>
          </rPr>
          <t xml:space="preserve">7. 18 Pesukim
</t>
        </r>
        <r>
          <rPr>
            <sz val="10"/>
            <color rgb="FF000000"/>
            <rFont val="Aptos Narrow"/>
          </rPr>
          <t>Haftorah: 18 Pesukim</t>
        </r>
      </text>
    </comment>
    <comment ref="J8" authorId="0" shapeId="0" xr:uid="{CD185A66-3472-0242-BB39-AEB3D36F9C73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מצורע</t>
        </r>
      </text>
    </comment>
    <comment ref="A9" authorId="0" shapeId="0" xr:uid="{B988D5E7-B3F3-AB4B-8136-210EC2F3B1DD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80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17 Pesukim 
</t>
        </r>
        <r>
          <rPr>
            <sz val="10"/>
            <color rgb="FF000000"/>
            <rFont val="Aptos Narrow"/>
          </rPr>
          <t xml:space="preserve">2. 7 Pesukim
</t>
        </r>
        <r>
          <rPr>
            <sz val="10"/>
            <color rgb="FF000000"/>
            <rFont val="Aptos Narrow"/>
          </rPr>
          <t xml:space="preserve">3. 10 Pesukim
</t>
        </r>
        <r>
          <rPr>
            <sz val="10"/>
            <color rgb="FF000000"/>
            <rFont val="Aptos Narrow"/>
          </rPr>
          <t xml:space="preserve">4. 7 Pesukim
</t>
        </r>
        <r>
          <rPr>
            <sz val="10"/>
            <color rgb="FF000000"/>
            <rFont val="Aptos Narrow"/>
          </rPr>
          <t xml:space="preserve">5. 14 Pesukim
</t>
        </r>
        <r>
          <rPr>
            <sz val="10"/>
            <color rgb="FF000000"/>
            <rFont val="Aptos Narrow"/>
          </rPr>
          <t xml:space="preserve">6. 16 Pesukim
</t>
        </r>
        <r>
          <rPr>
            <sz val="10"/>
            <color rgb="FF000000"/>
            <rFont val="Aptos Narrow"/>
          </rPr>
          <t xml:space="preserve">7. 9 Pesukim
</t>
        </r>
        <r>
          <rPr>
            <sz val="10"/>
            <color rgb="FF000000"/>
            <rFont val="Aptos Narrow"/>
          </rPr>
          <t>Haftorah: 9 Pesukim</t>
        </r>
      </text>
    </comment>
    <comment ref="C9" authorId="0" shapeId="0" xr:uid="{65D3812C-1DBD-124F-BCAD-ABF39221A6DB}">
      <text>
        <r>
          <rPr>
            <b/>
            <sz val="10"/>
            <color rgb="FF000000"/>
            <rFont val="Tahoma"/>
            <family val="2"/>
          </rPr>
          <t>Yom Kippur Shacharit</t>
        </r>
      </text>
    </comment>
    <comment ref="D9" authorId="0" shapeId="0" xr:uid="{F9C7FE9A-0919-4B4C-8D61-37D157299E32}">
      <text>
        <r>
          <rPr>
            <b/>
            <sz val="10"/>
            <color rgb="FF000000"/>
            <rFont val="Aptos Narrow"/>
          </rPr>
          <t>Yom Kippur Shacharit Continued</t>
        </r>
      </text>
    </comment>
    <comment ref="E9" authorId="0" shapeId="0" xr:uid="{429E9377-E914-504A-9CA3-D3DFC4679429}">
      <text>
        <r>
          <rPr>
            <b/>
            <sz val="10"/>
            <color rgb="FF000000"/>
            <rFont val="Aptos Narrow"/>
          </rPr>
          <t>Yom Kippur Shacharit Continued</t>
        </r>
      </text>
    </comment>
    <comment ref="G9" authorId="0" shapeId="0" xr:uid="{BFB8602B-B0A5-9648-B6A0-BE2EC73F72EF}">
      <text>
        <r>
          <rPr>
            <b/>
            <sz val="10"/>
            <color rgb="FF000000"/>
            <rFont val="Tahoma"/>
            <family val="2"/>
          </rPr>
          <t>Yom Kippur Mincha begins from start of Chapter 18</t>
        </r>
      </text>
    </comment>
    <comment ref="H9" authorId="0" shapeId="0" xr:uid="{8BF9F763-42A0-E344-9C37-D1A559D7947B}">
      <text>
        <r>
          <rPr>
            <b/>
            <sz val="10"/>
            <color rgb="FF000000"/>
            <rFont val="Tahoma"/>
            <family val="2"/>
          </rPr>
          <t>Yom Kippur Mincha Continued</t>
        </r>
      </text>
    </comment>
    <comment ref="I9" authorId="0" shapeId="0" xr:uid="{EF81EEAE-6F46-794E-827D-FEA8CD4868FD}">
      <text>
        <r>
          <rPr>
            <b/>
            <sz val="10"/>
            <color rgb="FF000000"/>
            <rFont val="Aptos Narrow"/>
            <scheme val="minor"/>
          </rPr>
          <t>Yom Kippur Mincha Continued</t>
        </r>
      </text>
    </comment>
    <comment ref="A10" authorId="0" shapeId="0" xr:uid="{9EC80ED3-1C6E-CD4A-9FFE-C5D247188918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64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8 Pesukim
</t>
        </r>
        <r>
          <rPr>
            <sz val="10"/>
            <color rgb="FF000000"/>
            <rFont val="Aptos Narrow"/>
          </rPr>
          <t xml:space="preserve">3. 10 Pesukim
</t>
        </r>
        <r>
          <rPr>
            <sz val="10"/>
            <color rgb="FF000000"/>
            <rFont val="Aptos Narrow"/>
          </rPr>
          <t xml:space="preserve">4. 5 Pesukim
</t>
        </r>
        <r>
          <rPr>
            <sz val="10"/>
            <color rgb="FF000000"/>
            <rFont val="Aptos Narrow"/>
          </rPr>
          <t xml:space="preserve">5. 7 Pesukim
</t>
        </r>
        <r>
          <rPr>
            <sz val="10"/>
            <color rgb="FF000000"/>
            <rFont val="Aptos Narrow"/>
          </rPr>
          <t xml:space="preserve">6. 15 Pesukim
</t>
        </r>
        <r>
          <rPr>
            <sz val="10"/>
            <color rgb="FF000000"/>
            <rFont val="Aptos Narrow"/>
          </rPr>
          <t xml:space="preserve">7. 5 Pesukim
</t>
        </r>
        <r>
          <rPr>
            <sz val="10"/>
            <color rgb="FF000000"/>
            <rFont val="Aptos Narrow"/>
          </rPr>
          <t>Haftorah: 19 Pesukim</t>
        </r>
      </text>
    </comment>
    <comment ref="A11" authorId="0" shapeId="0" xr:uid="{16380558-785E-6B49-BB59-89D2FB94F990}">
      <text>
        <r>
          <rPr>
            <b/>
            <sz val="10"/>
            <color rgb="FF000000"/>
            <rFont val="Aptos Narrow"/>
          </rPr>
          <t>Double-Parsha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144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24 Pesukim 
</t>
        </r>
        <r>
          <rPr>
            <sz val="10"/>
            <color rgb="FF000000"/>
            <rFont val="Aptos Narrow"/>
          </rPr>
          <t xml:space="preserve">2. 17 Pesukim
</t>
        </r>
        <r>
          <rPr>
            <sz val="10"/>
            <color rgb="FF000000"/>
            <rFont val="Aptos Narrow"/>
          </rPr>
          <t xml:space="preserve">3. 30 Pesukim
</t>
        </r>
        <r>
          <rPr>
            <sz val="10"/>
            <color rgb="FF000000"/>
            <rFont val="Aptos Narrow"/>
          </rPr>
          <t xml:space="preserve">4. 23 Pesukim
</t>
        </r>
        <r>
          <rPr>
            <sz val="10"/>
            <color rgb="FF000000"/>
            <rFont val="Aptos Narrow"/>
          </rPr>
          <t xml:space="preserve">5. 18 Pesukim
</t>
        </r>
        <r>
          <rPr>
            <sz val="10"/>
            <color rgb="FF000000"/>
            <rFont val="Aptos Narrow"/>
          </rPr>
          <t xml:space="preserve">6. 12 Pesukim
</t>
        </r>
        <r>
          <rPr>
            <sz val="10"/>
            <color rgb="FF000000"/>
            <rFont val="Aptos Narrow"/>
          </rPr>
          <t xml:space="preserve">7. 20 Pesukim
</t>
        </r>
        <r>
          <rPr>
            <sz val="10"/>
            <color rgb="FF000000"/>
            <rFont val="Aptos Narrow"/>
          </rPr>
          <t>Haftorah: 9 Pesukim</t>
        </r>
      </text>
    </comment>
    <comment ref="J11" authorId="0" shapeId="0" xr:uid="{48B9FEB5-A59B-2F46-8EB9-93F9293F2E8D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אחרי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Tahoma"/>
            <family val="2"/>
          </rPr>
          <t>מות</t>
        </r>
      </text>
    </comment>
    <comment ref="A12" authorId="0" shapeId="0" xr:uid="{89F452CF-6E2F-6947-A16A-57650DBF14A5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124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15 Pesukim 
</t>
        </r>
        <r>
          <rPr>
            <sz val="10"/>
            <color rgb="FF000000"/>
            <rFont val="Aptos Narrow"/>
          </rPr>
          <t xml:space="preserve">2. 25 Pesukim
</t>
        </r>
        <r>
          <rPr>
            <sz val="10"/>
            <color rgb="FF000000"/>
            <rFont val="Aptos Narrow"/>
          </rPr>
          <t xml:space="preserve">3. 17 Pesukim
</t>
        </r>
        <r>
          <rPr>
            <sz val="10"/>
            <color rgb="FF000000"/>
            <rFont val="Aptos Narrow"/>
          </rPr>
          <t xml:space="preserve">4. 22 Pesukim
</t>
        </r>
        <r>
          <rPr>
            <sz val="10"/>
            <color rgb="FF000000"/>
            <rFont val="Aptos Narrow"/>
          </rPr>
          <t xml:space="preserve">5. 10 Pesukim
</t>
        </r>
        <r>
          <rPr>
            <sz val="10"/>
            <color rgb="FF000000"/>
            <rFont val="Aptos Narrow"/>
          </rPr>
          <t xml:space="preserve">6. 12 Pesukim
</t>
        </r>
        <r>
          <rPr>
            <sz val="10"/>
            <color rgb="FF000000"/>
            <rFont val="Aptos Narrow"/>
          </rPr>
          <t xml:space="preserve">7. 23 Pesukim
</t>
        </r>
        <r>
          <rPr>
            <sz val="10"/>
            <color rgb="FF000000"/>
            <rFont val="Aptos Narrow"/>
          </rPr>
          <t>Haftorah: 17 Pesukim</t>
        </r>
      </text>
    </comment>
    <comment ref="A13" authorId="0" shapeId="0" xr:uid="{9A461A23-DE9E-8C4C-B132-1B9F1E463684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57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15 Pesukim 
</t>
        </r>
        <r>
          <rPr>
            <sz val="10"/>
            <color rgb="FF000000"/>
            <rFont val="Aptos Narrow"/>
          </rPr>
          <t xml:space="preserve">2. 5 Pesukim
</t>
        </r>
        <r>
          <rPr>
            <sz val="10"/>
            <color rgb="FF000000"/>
            <rFont val="Aptos Narrow"/>
          </rPr>
          <t xml:space="preserve">3. 6 Pesukim
</t>
        </r>
        <r>
          <rPr>
            <sz val="10"/>
            <color rgb="FF000000"/>
            <rFont val="Aptos Narrow"/>
          </rPr>
          <t xml:space="preserve">4. 4 Pesukim
</t>
        </r>
        <r>
          <rPr>
            <sz val="10"/>
            <color rgb="FF000000"/>
            <rFont val="Aptos Narrow"/>
          </rPr>
          <t xml:space="preserve">5. 10 Pesukim
</t>
        </r>
        <r>
          <rPr>
            <sz val="10"/>
            <color rgb="FF000000"/>
            <rFont val="Aptos Narrow"/>
          </rPr>
          <t xml:space="preserve">6. 8 Pesukim
</t>
        </r>
        <r>
          <rPr>
            <sz val="10"/>
            <color rgb="FF000000"/>
            <rFont val="Aptos Narrow"/>
          </rPr>
          <t xml:space="preserve">7. 11 Pesukim
</t>
        </r>
        <r>
          <rPr>
            <sz val="10"/>
            <color rgb="FF000000"/>
            <rFont val="Aptos Narrow"/>
          </rPr>
          <t>Haftorah: 22 Pesukim</t>
        </r>
      </text>
    </comment>
    <comment ref="A14" authorId="0" shapeId="0" xr:uid="{FE231643-6DDF-8F44-BC51-E3A3B09BA197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78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3 Pesukim 
</t>
        </r>
        <r>
          <rPr>
            <sz val="10"/>
            <color rgb="FF000000"/>
            <rFont val="Aptos Narrow"/>
          </rPr>
          <t xml:space="preserve">2. 4 Pesukim
</t>
        </r>
        <r>
          <rPr>
            <sz val="10"/>
            <color rgb="FF000000"/>
            <rFont val="Aptos Narrow"/>
          </rPr>
          <t xml:space="preserve">3. 37 Pesukim
</t>
        </r>
        <r>
          <rPr>
            <sz val="10"/>
            <color rgb="FF000000"/>
            <rFont val="Aptos Narrow"/>
          </rPr>
          <t xml:space="preserve">4. 15 Pesukim
</t>
        </r>
        <r>
          <rPr>
            <sz val="10"/>
            <color rgb="FF000000"/>
            <rFont val="Aptos Narrow"/>
          </rPr>
          <t xml:space="preserve">5. 6 Pesukim
</t>
        </r>
        <r>
          <rPr>
            <sz val="10"/>
            <color rgb="FF000000"/>
            <rFont val="Aptos Narrow"/>
          </rPr>
          <t xml:space="preserve">6. 7 Pesukim
</t>
        </r>
        <r>
          <rPr>
            <sz val="10"/>
            <color rgb="FF000000"/>
            <rFont val="Aptos Narrow"/>
          </rPr>
          <t xml:space="preserve">7. 6 Pesukim
</t>
        </r>
        <r>
          <rPr>
            <sz val="10"/>
            <color rgb="FF000000"/>
            <rFont val="Aptos Narrow"/>
          </rPr>
          <t>Haftorah: 17 Pesukim</t>
        </r>
      </text>
    </comment>
    <comment ref="E14" authorId="0" shapeId="0" xr:uid="{0541C8C7-DC9E-8A42-98A1-5DCA271E217B}">
      <text>
        <r>
          <rPr>
            <b/>
            <sz val="10"/>
            <color rgb="FF000000"/>
            <rFont val="Tahoma"/>
            <family val="2"/>
          </rPr>
          <t>תוככה</t>
        </r>
      </text>
    </comment>
    <comment ref="A15" authorId="0" shapeId="0" xr:uid="{C712509D-2725-6B40-B823-BA3D70F32BBD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135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18 Pesukim 
</t>
        </r>
        <r>
          <rPr>
            <sz val="10"/>
            <color rgb="FF000000"/>
            <rFont val="Aptos Narrow"/>
          </rPr>
          <t xml:space="preserve">2. 10 Pesukim
</t>
        </r>
        <r>
          <rPr>
            <sz val="10"/>
            <color rgb="FF000000"/>
            <rFont val="Aptos Narrow"/>
          </rPr>
          <t xml:space="preserve">3. 10 Pesukim
</t>
        </r>
        <r>
          <rPr>
            <sz val="10"/>
            <color rgb="FF000000"/>
            <rFont val="Aptos Narrow"/>
          </rPr>
          <t xml:space="preserve">4. 26 Pesukim
</t>
        </r>
        <r>
          <rPr>
            <sz val="10"/>
            <color rgb="FF000000"/>
            <rFont val="Aptos Narrow"/>
          </rPr>
          <t xml:space="preserve">5. 37 Pesukim
</t>
        </r>
        <r>
          <rPr>
            <sz val="10"/>
            <color rgb="FF000000"/>
            <rFont val="Aptos Narrow"/>
          </rPr>
          <t xml:space="preserve">6. 15 Pesukim
</t>
        </r>
        <r>
          <rPr>
            <sz val="10"/>
            <color rgb="FF000000"/>
            <rFont val="Aptos Narrow"/>
          </rPr>
          <t xml:space="preserve">7. 19 Pesukim
</t>
        </r>
        <r>
          <rPr>
            <sz val="10"/>
            <color rgb="FF000000"/>
            <rFont val="Aptos Narrow"/>
          </rPr>
          <t>Haftorah: 17 Pesukim</t>
        </r>
      </text>
    </comment>
    <comment ref="J15" authorId="0" shapeId="0" xr:uid="{B11CCB59-3125-6442-80EB-0B32F2F258E4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בחוקותי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Korman</author>
  </authors>
  <commentList>
    <comment ref="A3" authorId="0" shapeId="0" xr:uid="{688EAE8E-6881-3740-B142-8CBE4E0C321A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159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19 Pesukim 
</t>
        </r>
        <r>
          <rPr>
            <sz val="10"/>
            <color rgb="FF000000"/>
            <rFont val="Aptos Narrow"/>
          </rPr>
          <t xml:space="preserve">2. 35 Pesukim
</t>
        </r>
        <r>
          <rPr>
            <sz val="10"/>
            <color rgb="FF000000"/>
            <rFont val="Aptos Narrow"/>
          </rPr>
          <t xml:space="preserve">3. 34 Pesukim
</t>
        </r>
        <r>
          <rPr>
            <sz val="10"/>
            <color rgb="FF000000"/>
            <rFont val="Aptos Narrow"/>
          </rPr>
          <t xml:space="preserve">4. 13 Pesukim
</t>
        </r>
        <r>
          <rPr>
            <sz val="10"/>
            <color rgb="FF000000"/>
            <rFont val="Aptos Narrow"/>
          </rPr>
          <t xml:space="preserve">5. 26 Pesukim
</t>
        </r>
        <r>
          <rPr>
            <sz val="10"/>
            <color rgb="FF000000"/>
            <rFont val="Aptos Narrow"/>
          </rPr>
          <t xml:space="preserve">6. 12 Pesukim
</t>
        </r>
        <r>
          <rPr>
            <sz val="10"/>
            <color rgb="FF000000"/>
            <rFont val="Aptos Narrow"/>
          </rPr>
          <t xml:space="preserve">7. 20 Pesukim
</t>
        </r>
        <r>
          <rPr>
            <sz val="10"/>
            <color rgb="FF000000"/>
            <rFont val="Aptos Narrow"/>
          </rPr>
          <t>Haftorah: 22 Pesukim</t>
        </r>
      </text>
    </comment>
    <comment ref="A4" authorId="0" shapeId="0" xr:uid="{C6A2F41C-7439-F74D-BBDB-C164EEB4D760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176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17 Pesukim 
</t>
        </r>
        <r>
          <rPr>
            <sz val="10"/>
            <color rgb="FF000000"/>
            <rFont val="Aptos Narrow"/>
          </rPr>
          <t xml:space="preserve">2. 12 Pesukim
</t>
        </r>
        <r>
          <rPr>
            <sz val="10"/>
            <color rgb="FF000000"/>
            <rFont val="Aptos Narrow"/>
          </rPr>
          <t xml:space="preserve">3. 10 Pesukim
</t>
        </r>
        <r>
          <rPr>
            <sz val="10"/>
            <color rgb="FF000000"/>
            <rFont val="Aptos Narrow"/>
          </rPr>
          <t xml:space="preserve">4. 48 Pesukim
</t>
        </r>
        <r>
          <rPr>
            <sz val="10"/>
            <color rgb="FF000000"/>
            <rFont val="Aptos Narrow"/>
          </rPr>
          <t xml:space="preserve">5. 41 Pesukim
</t>
        </r>
        <r>
          <rPr>
            <sz val="10"/>
            <color rgb="FF000000"/>
            <rFont val="Aptos Narrow"/>
          </rPr>
          <t xml:space="preserve">6. 30 Pesukim
</t>
        </r>
        <r>
          <rPr>
            <sz val="10"/>
            <color rgb="FF000000"/>
            <rFont val="Aptos Narrow"/>
          </rPr>
          <t xml:space="preserve">7. 18 Pesukim
</t>
        </r>
        <r>
          <rPr>
            <sz val="10"/>
            <color rgb="FF000000"/>
            <rFont val="Aptos Narrow"/>
          </rPr>
          <t>Haftorah: 24 Pesukim</t>
        </r>
      </text>
    </comment>
    <comment ref="G4" authorId="0" shapeId="0" xr:uid="{1202F01E-366C-2B4A-B9D5-F64FE585E423}">
      <text>
        <r>
          <rPr>
            <b/>
            <sz val="10"/>
            <color rgb="FF000000"/>
            <rFont val="Tahoma"/>
            <family val="2"/>
          </rPr>
          <t>חנוכה</t>
        </r>
      </text>
    </comment>
    <comment ref="H4" authorId="0" shapeId="0" xr:uid="{2113890E-4322-7D47-A020-C2FCD90787D8}">
      <text>
        <r>
          <rPr>
            <b/>
            <sz val="10"/>
            <color rgb="FF000000"/>
            <rFont val="Tahoma"/>
            <family val="2"/>
          </rPr>
          <t>חנוכה</t>
        </r>
      </text>
    </comment>
    <comment ref="I4" authorId="0" shapeId="0" xr:uid="{0F2DF57E-7D1A-7E48-A16C-B7E850F631DB}">
      <text>
        <r>
          <rPr>
            <b/>
            <sz val="10"/>
            <color rgb="FF000000"/>
            <rFont val="Tahoma"/>
            <family val="2"/>
          </rPr>
          <t>חנוכה</t>
        </r>
      </text>
    </comment>
    <comment ref="A5" authorId="0" shapeId="0" xr:uid="{0B5A17B0-9400-464F-BA4A-A664E9EC3E2B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136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12 Pesukim
</t>
        </r>
        <r>
          <rPr>
            <sz val="10"/>
            <color rgb="FF000000"/>
            <rFont val="Aptos Narrow"/>
          </rPr>
          <t xml:space="preserve">3. 14 Pesukim
</t>
        </r>
        <r>
          <rPr>
            <sz val="10"/>
            <color rgb="FF000000"/>
            <rFont val="Aptos Narrow"/>
          </rPr>
          <t xml:space="preserve">4. 19 Pesukim
</t>
        </r>
        <r>
          <rPr>
            <sz val="10"/>
            <color rgb="FF000000"/>
            <rFont val="Aptos Narrow"/>
          </rPr>
          <t xml:space="preserve">5. 24 Pesukim
</t>
        </r>
        <r>
          <rPr>
            <sz val="10"/>
            <color rgb="FF000000"/>
            <rFont val="Aptos Narrow"/>
          </rPr>
          <t xml:space="preserve">6. 31 Pesukim
</t>
        </r>
        <r>
          <rPr>
            <sz val="10"/>
            <color rgb="FF000000"/>
            <rFont val="Aptos Narrow"/>
          </rPr>
          <t xml:space="preserve">7. 22 Pesukim
</t>
        </r>
        <r>
          <rPr>
            <sz val="10"/>
            <color rgb="FF000000"/>
            <rFont val="Aptos Narrow"/>
          </rPr>
          <t>Haftorah: 21 Pesukim</t>
        </r>
      </text>
    </comment>
    <comment ref="A6" authorId="0" shapeId="0" xr:uid="{0A3058EF-E93A-E243-ABC1-AA8B7EC41271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119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20 Pesukim 
</t>
        </r>
        <r>
          <rPr>
            <sz val="10"/>
            <color rgb="FF000000"/>
            <rFont val="Aptos Narrow"/>
          </rPr>
          <t xml:space="preserve">2. 20 Pesukim
</t>
        </r>
        <r>
          <rPr>
            <sz val="10"/>
            <color rgb="FF000000"/>
            <rFont val="Aptos Narrow"/>
          </rPr>
          <t xml:space="preserve">3. 18 Pesukim
</t>
        </r>
        <r>
          <rPr>
            <sz val="10"/>
            <color rgb="FF000000"/>
            <rFont val="Aptos Narrow"/>
          </rPr>
          <t xml:space="preserve">4. 27 Pesukim
</t>
        </r>
        <r>
          <rPr>
            <sz val="10"/>
            <color rgb="FF000000"/>
            <rFont val="Aptos Narrow"/>
          </rPr>
          <t xml:space="preserve">5. 9 Pesukim
</t>
        </r>
        <r>
          <rPr>
            <sz val="10"/>
            <color rgb="FF000000"/>
            <rFont val="Aptos Narrow"/>
          </rPr>
          <t xml:space="preserve">6. 10 Pesukim
</t>
        </r>
        <r>
          <rPr>
            <sz val="10"/>
            <color rgb="FF000000"/>
            <rFont val="Aptos Narrow"/>
          </rPr>
          <t xml:space="preserve">7. 15 Pesukim
</t>
        </r>
        <r>
          <rPr>
            <sz val="10"/>
            <color rgb="FF000000"/>
            <rFont val="Aptos Narrow"/>
          </rPr>
          <t>Haftorah: 24 Pesukim</t>
        </r>
      </text>
    </comment>
    <comment ref="I6" authorId="0" shapeId="0" xr:uid="{F0A3363E-164B-D44E-96F9-28231B46B068}">
      <text>
        <r>
          <rPr>
            <b/>
            <sz val="10"/>
            <color rgb="FF000000"/>
            <rFont val="Tahoma"/>
            <family val="2"/>
          </rPr>
          <t>Contains the Third Paragraph of Shema</t>
        </r>
      </text>
    </comment>
    <comment ref="A7" authorId="0" shapeId="0" xr:uid="{59E4B4F1-EB38-574B-AE89-6D060C028985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95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16 Pesukim 
</t>
        </r>
        <r>
          <rPr>
            <sz val="10"/>
            <color rgb="FF000000"/>
            <rFont val="Aptos Narrow"/>
          </rPr>
          <t xml:space="preserve">2. 6 Pesukim
</t>
        </r>
        <r>
          <rPr>
            <sz val="10"/>
            <color rgb="FF000000"/>
            <rFont val="Aptos Narrow"/>
          </rPr>
          <t xml:space="preserve">3. 24 Pesukim
</t>
        </r>
        <r>
          <rPr>
            <sz val="10"/>
            <color rgb="FF000000"/>
            <rFont val="Aptos Narrow"/>
          </rPr>
          <t xml:space="preserve">4. 13 Pesukim
</t>
        </r>
        <r>
          <rPr>
            <sz val="10"/>
            <color rgb="FF000000"/>
            <rFont val="Aptos Narrow"/>
          </rPr>
          <t xml:space="preserve">5. 26 Pesukim
</t>
        </r>
        <r>
          <rPr>
            <sz val="10"/>
            <color rgb="FF000000"/>
            <rFont val="Aptos Narrow"/>
          </rPr>
          <t xml:space="preserve">6. 12 Pesukim
</t>
        </r>
        <r>
          <rPr>
            <sz val="10"/>
            <color rgb="FF000000"/>
            <rFont val="Aptos Narrow"/>
          </rPr>
          <t xml:space="preserve">7. 20 Pesukim
</t>
        </r>
        <r>
          <rPr>
            <sz val="10"/>
            <color rgb="FF000000"/>
            <rFont val="Aptos Narrow"/>
          </rPr>
          <t>Haftorah: 22 Pesukim</t>
        </r>
      </text>
    </comment>
    <comment ref="A8" authorId="0" shapeId="0" xr:uid="{4E230158-EB36-E54D-A58B-DC5B6076892A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87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17 Pesukim 
</t>
        </r>
        <r>
          <rPr>
            <sz val="10"/>
            <color rgb="FF000000"/>
            <rFont val="Aptos Narrow"/>
          </rPr>
          <t xml:space="preserve">2. 11 Pesukim
</t>
        </r>
        <r>
          <rPr>
            <sz val="10"/>
            <color rgb="FF000000"/>
            <rFont val="Aptos Narrow"/>
          </rPr>
          <t xml:space="preserve">3. 7 Pesukim
</t>
        </r>
        <r>
          <rPr>
            <sz val="10"/>
            <color rgb="FF000000"/>
            <rFont val="Aptos Narrow"/>
          </rPr>
          <t xml:space="preserve">4. 8 Pesukim
</t>
        </r>
        <r>
          <rPr>
            <sz val="10"/>
            <color rgb="FF000000"/>
            <rFont val="Aptos Narrow"/>
          </rPr>
          <t xml:space="preserve">5. 17 Pesukim
</t>
        </r>
        <r>
          <rPr>
            <sz val="10"/>
            <color rgb="FF000000"/>
            <rFont val="Aptos Narrow"/>
          </rPr>
          <t xml:space="preserve">6. 11 Pesukim
</t>
        </r>
        <r>
          <rPr>
            <sz val="10"/>
            <color rgb="FF000000"/>
            <rFont val="Aptos Narrow"/>
          </rPr>
          <t xml:space="preserve">7. 16 Pesukim
</t>
        </r>
        <r>
          <rPr>
            <sz val="10"/>
            <color rgb="FF000000"/>
            <rFont val="Aptos Narrow"/>
          </rPr>
          <t>Haftorah: 33 Pesukim</t>
        </r>
      </text>
    </comment>
    <comment ref="C8" authorId="0" shapeId="0" xr:uid="{8DB7CA1C-054B-484B-91D4-7B412AA9BEA7}">
      <text>
        <r>
          <rPr>
            <b/>
            <sz val="10"/>
            <color rgb="FF000000"/>
            <rFont val="Tahoma"/>
            <family val="2"/>
          </rPr>
          <t>פרשת פרה</t>
        </r>
      </text>
    </comment>
    <comment ref="A9" authorId="0" shapeId="0" xr:uid="{2765553B-7E0B-CE4C-890E-821543AD581E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104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11 Pesukim 
</t>
        </r>
        <r>
          <rPr>
            <sz val="10"/>
            <color rgb="FF000000"/>
            <rFont val="Aptos Narrow"/>
          </rPr>
          <t xml:space="preserve">2. 8 Pesukim
</t>
        </r>
        <r>
          <rPr>
            <sz val="10"/>
            <color rgb="FF000000"/>
            <rFont val="Aptos Narrow"/>
          </rPr>
          <t xml:space="preserve">3. 18 Pesukim
</t>
        </r>
        <r>
          <rPr>
            <sz val="10"/>
            <color rgb="FF000000"/>
            <rFont val="Aptos Narrow"/>
          </rPr>
          <t xml:space="preserve">4. 15 Pesukim
</t>
        </r>
        <r>
          <rPr>
            <sz val="10"/>
            <color rgb="FF000000"/>
            <rFont val="Aptos Narrow"/>
          </rPr>
          <t xml:space="preserve">5. 14 Pesukim
</t>
        </r>
        <r>
          <rPr>
            <sz val="10"/>
            <color rgb="FF000000"/>
            <rFont val="Aptos Narrow"/>
          </rPr>
          <t xml:space="preserve">6. 17 Pesukim
</t>
        </r>
        <r>
          <rPr>
            <sz val="10"/>
            <color rgb="FF000000"/>
            <rFont val="Aptos Narrow"/>
          </rPr>
          <t xml:space="preserve">7. 21 Pesukim
</t>
        </r>
        <r>
          <rPr>
            <sz val="10"/>
            <color rgb="FF000000"/>
            <rFont val="Aptos Narrow"/>
          </rPr>
          <t>Haftorah: 17 Pesukim</t>
        </r>
      </text>
    </comment>
    <comment ref="A10" authorId="0" shapeId="0" xr:uid="{7A5655CE-2D2D-0249-994B-F125FDA7024F}">
      <text>
        <r>
          <rPr>
            <b/>
            <sz val="10"/>
            <color rgb="FF000000"/>
            <rFont val="Aptos Narrow"/>
          </rPr>
          <t>Double-Parsha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191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28 Pesukim 
</t>
        </r>
        <r>
          <rPr>
            <sz val="10"/>
            <color rgb="FF000000"/>
            <rFont val="Aptos Narrow"/>
          </rPr>
          <t xml:space="preserve">2. 15 Pesukim
</t>
        </r>
        <r>
          <rPr>
            <sz val="10"/>
            <color rgb="FF000000"/>
            <rFont val="Aptos Narrow"/>
          </rPr>
          <t xml:space="preserve">3. 28 Pesukim
</t>
        </r>
        <r>
          <rPr>
            <sz val="10"/>
            <color rgb="FF000000"/>
            <rFont val="Aptos Narrow"/>
          </rPr>
          <t xml:space="preserve">4. 27 Pesukim
</t>
        </r>
        <r>
          <rPr>
            <sz val="10"/>
            <color rgb="FF000000"/>
            <rFont val="Aptos Narrow"/>
          </rPr>
          <t xml:space="preserve">5. 26 Pesukim
</t>
        </r>
        <r>
          <rPr>
            <sz val="10"/>
            <color rgb="FF000000"/>
            <rFont val="Aptos Narrow"/>
          </rPr>
          <t xml:space="preserve">6. 29 Pesukim
</t>
        </r>
        <r>
          <rPr>
            <sz val="10"/>
            <color rgb="FF000000"/>
            <rFont val="Aptos Narrow"/>
          </rPr>
          <t xml:space="preserve">7. 38 Pesukim
</t>
        </r>
        <r>
          <rPr>
            <sz val="10"/>
            <color rgb="FF000000"/>
            <rFont val="Aptos Narrow"/>
          </rPr>
          <t>Haftorah: 17 Pesukim</t>
        </r>
      </text>
    </comment>
    <comment ref="J10" authorId="0" shapeId="0" xr:uid="{E1FD9694-2D5C-4F47-A9D6-E00AC3BA90FA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בלק</t>
        </r>
      </text>
    </comment>
    <comment ref="A11" authorId="0" shapeId="0" xr:uid="{C993D60D-FF0E-E948-A656-CE29D67E3374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169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14 Pesukim 
</t>
        </r>
        <r>
          <rPr>
            <sz val="10"/>
            <color rgb="FF000000"/>
            <rFont val="Aptos Narrow"/>
          </rPr>
          <t xml:space="preserve">2. 47 Pesukim
</t>
        </r>
        <r>
          <rPr>
            <sz val="10"/>
            <color rgb="FF000000"/>
            <rFont val="Aptos Narrow"/>
          </rPr>
          <t xml:space="preserve">3. 19 Pesukim
</t>
        </r>
        <r>
          <rPr>
            <sz val="10"/>
            <color rgb="FF000000"/>
            <rFont val="Aptos Narrow"/>
          </rPr>
          <t xml:space="preserve">4. 18 Pesukim
</t>
        </r>
        <r>
          <rPr>
            <sz val="10"/>
            <color rgb="FF000000"/>
            <rFont val="Aptos Narrow"/>
          </rPr>
          <t xml:space="preserve">5. 15 Pesukim
</t>
        </r>
        <r>
          <rPr>
            <sz val="10"/>
            <color rgb="FF000000"/>
            <rFont val="Aptos Narrow"/>
          </rPr>
          <t xml:space="preserve">6. 27 Pesukim
</t>
        </r>
        <r>
          <rPr>
            <sz val="10"/>
            <color rgb="FF000000"/>
            <rFont val="Aptos Narrow"/>
          </rPr>
          <t xml:space="preserve">7. 29 Pesukim
</t>
        </r>
        <r>
          <rPr>
            <sz val="10"/>
            <color rgb="FF000000"/>
            <rFont val="Aptos Narrow"/>
          </rPr>
          <t>Haftorah: 22 Pesukim</t>
        </r>
      </text>
    </comment>
    <comment ref="G11" authorId="0" shapeId="0" xr:uid="{360B3424-58F5-0E42-A3A0-31821CF56CBC}">
      <text>
        <r>
          <rPr>
            <b/>
            <sz val="10"/>
            <color rgb="FF000000"/>
            <rFont val="Tahoma"/>
            <family val="2"/>
          </rPr>
          <t>ראש חודש</t>
        </r>
      </text>
    </comment>
    <comment ref="H11" authorId="0" shapeId="0" xr:uid="{FFFE3CD1-4253-8A4A-878D-369AE1E3F30A}">
      <text>
        <r>
          <rPr>
            <b/>
            <sz val="10"/>
            <color rgb="FF000000"/>
            <rFont val="Tahoma"/>
            <family val="2"/>
          </rPr>
          <t xml:space="preserve">Contains Maftir For:
</t>
        </r>
        <r>
          <rPr>
            <sz val="10"/>
            <color rgb="FF000000"/>
            <rFont val="Tahoma"/>
            <family val="2"/>
          </rPr>
          <t xml:space="preserve">- Pesach
</t>
        </r>
        <r>
          <rPr>
            <sz val="10"/>
            <color rgb="FF000000"/>
            <rFont val="Tahoma"/>
            <family val="2"/>
          </rPr>
          <t xml:space="preserve">- Shavuot
</t>
        </r>
        <r>
          <rPr>
            <sz val="10"/>
            <color rgb="FF000000"/>
            <rFont val="Tahoma"/>
            <family val="2"/>
          </rPr>
          <t xml:space="preserve">- Rosh Hashannah
</t>
        </r>
        <r>
          <rPr>
            <sz val="10"/>
            <color rgb="FF000000"/>
            <rFont val="Tahoma"/>
            <family val="2"/>
          </rPr>
          <t>- Yom Kippur</t>
        </r>
      </text>
    </comment>
    <comment ref="I11" authorId="0" shapeId="0" xr:uid="{CAC01C25-10AD-B248-9AF7-044B9A3DC769}">
      <text>
        <r>
          <rPr>
            <b/>
            <sz val="10"/>
            <color rgb="FF000000"/>
            <rFont val="Aptos Narrow"/>
          </rPr>
          <t>Contains Reading For: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- Maftir - Sukkot Days 1-2
</t>
        </r>
        <r>
          <rPr>
            <sz val="10"/>
            <color rgb="FF000000"/>
            <rFont val="Aptos Narrow"/>
          </rPr>
          <t xml:space="preserve">- Chol Hamoed Sukkot
</t>
        </r>
        <r>
          <rPr>
            <sz val="10"/>
            <color rgb="FF000000"/>
            <rFont val="Aptos Narrow"/>
          </rPr>
          <t xml:space="preserve">- Hoshana Rabba
</t>
        </r>
        <r>
          <rPr>
            <sz val="10"/>
            <color rgb="FF000000"/>
            <rFont val="Aptos Narrow"/>
          </rPr>
          <t>- Maftir - Shemini Atzeret</t>
        </r>
      </text>
    </comment>
    <comment ref="A12" authorId="0" shapeId="0" xr:uid="{AB607082-4968-374B-83F5-52B668629C6D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112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16 Pesukim 
</t>
        </r>
        <r>
          <rPr>
            <sz val="10"/>
            <color rgb="FF000000"/>
            <rFont val="Aptos Narrow"/>
          </rPr>
          <t xml:space="preserve">2. 12 Pesukim
</t>
        </r>
        <r>
          <rPr>
            <sz val="10"/>
            <color rgb="FF000000"/>
            <rFont val="Aptos Narrow"/>
          </rPr>
          <t xml:space="preserve">3. 12 Pesukim
</t>
        </r>
        <r>
          <rPr>
            <sz val="10"/>
            <color rgb="FF000000"/>
            <rFont val="Aptos Narrow"/>
          </rPr>
          <t xml:space="preserve">4. 17 Pesukim
</t>
        </r>
        <r>
          <rPr>
            <sz val="10"/>
            <color rgb="FF000000"/>
            <rFont val="Aptos Narrow"/>
          </rPr>
          <t xml:space="preserve">5. 13 Pesukim
</t>
        </r>
        <r>
          <rPr>
            <sz val="10"/>
            <color rgb="FF000000"/>
            <rFont val="Aptos Narrow"/>
          </rPr>
          <t xml:space="preserve">6. 19 Pesukim
</t>
        </r>
        <r>
          <rPr>
            <sz val="10"/>
            <color rgb="FF000000"/>
            <rFont val="Aptos Narrow"/>
          </rPr>
          <t xml:space="preserve">7. 23 Pesukim
</t>
        </r>
        <r>
          <rPr>
            <sz val="10"/>
            <color rgb="FF000000"/>
            <rFont val="Aptos Narrow"/>
          </rPr>
          <t>Haftorah: 22 Pesukim</t>
        </r>
      </text>
    </comment>
    <comment ref="A13" authorId="0" shapeId="0" xr:uid="{09518672-08D6-654E-BEFA-AC8BF1B168D9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132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10 Pesukim 
</t>
        </r>
        <r>
          <rPr>
            <sz val="10"/>
            <color rgb="FF000000"/>
            <rFont val="Aptos Narrow"/>
          </rPr>
          <t xml:space="preserve">2. 39 Pesukim
</t>
        </r>
        <r>
          <rPr>
            <sz val="10"/>
            <color rgb="FF000000"/>
            <rFont val="Aptos Narrow"/>
          </rPr>
          <t xml:space="preserve">3. 22 Pesukim
</t>
        </r>
        <r>
          <rPr>
            <sz val="10"/>
            <color rgb="FF000000"/>
            <rFont val="Aptos Narrow"/>
          </rPr>
          <t xml:space="preserve">4. 14 Pesukim
</t>
        </r>
        <r>
          <rPr>
            <sz val="10"/>
            <color rgb="FF000000"/>
            <rFont val="Aptos Narrow"/>
          </rPr>
          <t xml:space="preserve">5. 8 Pesukim
</t>
        </r>
        <r>
          <rPr>
            <sz val="10"/>
            <color rgb="FF000000"/>
            <rFont val="Aptos Narrow"/>
          </rPr>
          <t xml:space="preserve">6. 26 Pesukim
</t>
        </r>
        <r>
          <rPr>
            <sz val="10"/>
            <color rgb="FF000000"/>
            <rFont val="Aptos Narrow"/>
          </rPr>
          <t xml:space="preserve">7. 13 Pesukim
</t>
        </r>
        <r>
          <rPr>
            <sz val="10"/>
            <color rgb="FF000000"/>
            <rFont val="Aptos Narrow"/>
          </rPr>
          <t>Haftorah: 26 Pesukim</t>
        </r>
      </text>
    </comment>
    <comment ref="A14" authorId="0" shapeId="0" xr:uid="{A25BFE77-6856-5346-841C-2CDAD39C58CF}">
      <text>
        <r>
          <rPr>
            <b/>
            <sz val="10"/>
            <color rgb="FF000000"/>
            <rFont val="Aptos Narrow"/>
          </rPr>
          <t>Double-Parsha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244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28 Pesukim 
</t>
        </r>
        <r>
          <rPr>
            <sz val="10"/>
            <color rgb="FF000000"/>
            <rFont val="Aptos Narrow"/>
          </rPr>
          <t xml:space="preserve">2. 42 Pesukim
</t>
        </r>
        <r>
          <rPr>
            <sz val="10"/>
            <color rgb="FF000000"/>
            <rFont val="Aptos Narrow"/>
          </rPr>
          <t xml:space="preserve">3. 19 Pesukim
</t>
        </r>
        <r>
          <rPr>
            <sz val="10"/>
            <color rgb="FF000000"/>
            <rFont val="Aptos Narrow"/>
          </rPr>
          <t xml:space="preserve">4. 72 Pesukim
</t>
        </r>
        <r>
          <rPr>
            <sz val="10"/>
            <color rgb="FF000000"/>
            <rFont val="Aptos Narrow"/>
          </rPr>
          <t xml:space="preserve">5. 22 Pesukim
</t>
        </r>
        <r>
          <rPr>
            <sz val="10"/>
            <color rgb="FF000000"/>
            <rFont val="Aptos Narrow"/>
          </rPr>
          <t xml:space="preserve">6. 22 Pesukim
</t>
        </r>
        <r>
          <rPr>
            <sz val="10"/>
            <color rgb="FF000000"/>
            <rFont val="Aptos Narrow"/>
          </rPr>
          <t xml:space="preserve">7. 39 Pesukim
</t>
        </r>
        <r>
          <rPr>
            <sz val="10"/>
            <color rgb="FF000000"/>
            <rFont val="Aptos Narrow"/>
          </rPr>
          <t>Haftorah: 26 Pesukim</t>
        </r>
      </text>
    </comment>
    <comment ref="J14" authorId="0" shapeId="0" xr:uid="{ADB09410-BB60-E544-B73C-CE4B33E6048C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מסעי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Korman</author>
  </authors>
  <commentList>
    <comment ref="A3" authorId="0" shapeId="0" xr:uid="{B46E69A5-E506-5B41-848D-3F601EE9B349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105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10 Pesukim 
</t>
        </r>
        <r>
          <rPr>
            <sz val="10"/>
            <color rgb="FF000000"/>
            <rFont val="Aptos Narrow"/>
          </rPr>
          <t xml:space="preserve">2. 11 Pesukim
</t>
        </r>
        <r>
          <rPr>
            <sz val="10"/>
            <color rgb="FF000000"/>
            <rFont val="Aptos Narrow"/>
          </rPr>
          <t xml:space="preserve">3. 17 Pesukim
</t>
        </r>
        <r>
          <rPr>
            <sz val="10"/>
            <color rgb="FF000000"/>
            <rFont val="Aptos Narrow"/>
          </rPr>
          <t xml:space="preserve">4. 9 Pesukim
</t>
        </r>
        <r>
          <rPr>
            <sz val="10"/>
            <color rgb="FF000000"/>
            <rFont val="Aptos Narrow"/>
          </rPr>
          <t xml:space="preserve">5. 29 Pesukim
</t>
        </r>
        <r>
          <rPr>
            <sz val="10"/>
            <color rgb="FF000000"/>
            <rFont val="Aptos Narrow"/>
          </rPr>
          <t xml:space="preserve">6. 21 Pesukim
</t>
        </r>
        <r>
          <rPr>
            <sz val="10"/>
            <color rgb="FF000000"/>
            <rFont val="Aptos Narrow"/>
          </rPr>
          <t xml:space="preserve">7. 8 Pesukim
</t>
        </r>
        <r>
          <rPr>
            <sz val="10"/>
            <color rgb="FF000000"/>
            <rFont val="Aptos Narrow"/>
          </rPr>
          <t>Haftorah: 27 Pesukim</t>
        </r>
      </text>
    </comment>
    <comment ref="A4" authorId="0" shapeId="0" xr:uid="{98157E85-DE53-D044-AB2C-CAA68D1D4992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122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11 Pesukim 
</t>
        </r>
        <r>
          <rPr>
            <sz val="10"/>
            <color rgb="FF000000"/>
            <rFont val="Aptos Narrow"/>
          </rPr>
          <t xml:space="preserve">2. 36 Pesukim
</t>
        </r>
        <r>
          <rPr>
            <sz val="10"/>
            <color rgb="FF000000"/>
            <rFont val="Aptos Narrow"/>
          </rPr>
          <t xml:space="preserve">3. 9 Pesukim
</t>
        </r>
        <r>
          <rPr>
            <sz val="10"/>
            <color rgb="FF000000"/>
            <rFont val="Aptos Narrow"/>
          </rPr>
          <t xml:space="preserve">4. 18 Pesukim
</t>
        </r>
        <r>
          <rPr>
            <sz val="10"/>
            <color rgb="FF000000"/>
            <rFont val="Aptos Narrow"/>
          </rPr>
          <t xml:space="preserve">5. 15 Pesukim
</t>
        </r>
        <r>
          <rPr>
            <sz val="10"/>
            <color rgb="FF000000"/>
            <rFont val="Aptos Narrow"/>
          </rPr>
          <t xml:space="preserve">6. 22 Pesukim
</t>
        </r>
        <r>
          <rPr>
            <sz val="10"/>
            <color rgb="FF000000"/>
            <rFont val="Aptos Narrow"/>
          </rPr>
          <t xml:space="preserve">7. 11 Pesukim
</t>
        </r>
        <r>
          <rPr>
            <sz val="10"/>
            <color rgb="FF000000"/>
            <rFont val="Aptos Narrow"/>
          </rPr>
          <t>Haftorah: 26 Pesukim</t>
        </r>
      </text>
    </comment>
    <comment ref="D4" authorId="0" shapeId="0" xr:uid="{7E7E0E36-0F41-F944-A053-0EDA704310F9}">
      <text>
        <r>
          <rPr>
            <b/>
            <sz val="10"/>
            <color rgb="FF000000"/>
            <rFont val="Tahoma"/>
            <family val="2"/>
          </rPr>
          <t xml:space="preserve">Tisha B'Av Shacharit </t>
        </r>
      </text>
    </comment>
    <comment ref="F4" authorId="0" shapeId="0" xr:uid="{ADEC2E91-B72A-144E-BE24-62C92E085461}">
      <text>
        <r>
          <rPr>
            <b/>
            <sz val="10"/>
            <color rgb="FF000000"/>
            <rFont val="Tahoma"/>
            <family val="2"/>
          </rPr>
          <t>עשרת</t>
        </r>
        <r>
          <rPr>
            <b/>
            <sz val="10"/>
            <color rgb="FF000000"/>
            <rFont val="Tahoma"/>
            <family val="2"/>
          </rPr>
          <t xml:space="preserve"> </t>
        </r>
        <r>
          <rPr>
            <b/>
            <sz val="10"/>
            <color rgb="FF000000"/>
            <rFont val="Tahoma"/>
            <family val="2"/>
          </rPr>
          <t>הדברות</t>
        </r>
      </text>
    </comment>
    <comment ref="H4" authorId="0" shapeId="0" xr:uid="{2FA832A6-FFA6-5849-8170-606D3723D08F}">
      <text>
        <r>
          <rPr>
            <b/>
            <sz val="10"/>
            <color rgb="FF000000"/>
            <rFont val="Tahoma"/>
            <family val="2"/>
          </rPr>
          <t>Beginning of Shema</t>
        </r>
      </text>
    </comment>
    <comment ref="A5" authorId="0" shapeId="0" xr:uid="{D217FB22-9521-3743-99BD-75C65A56B3A2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111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25 Pesukim 
</t>
        </r>
        <r>
          <rPr>
            <sz val="10"/>
            <color rgb="FF000000"/>
            <rFont val="Aptos Narrow"/>
          </rPr>
          <t xml:space="preserve">2. 13 Pesukim
</t>
        </r>
        <r>
          <rPr>
            <sz val="10"/>
            <color rgb="FF000000"/>
            <rFont val="Aptos Narrow"/>
          </rPr>
          <t xml:space="preserve">3. 26 Pesukim
</t>
        </r>
        <r>
          <rPr>
            <sz val="10"/>
            <color rgb="FF000000"/>
            <rFont val="Aptos Narrow"/>
          </rPr>
          <t xml:space="preserve">4. 11 Pesukim
</t>
        </r>
        <r>
          <rPr>
            <sz val="10"/>
            <color rgb="FF000000"/>
            <rFont val="Aptos Narrow"/>
          </rPr>
          <t xml:space="preserve">5. 20 Pesukim
</t>
        </r>
        <r>
          <rPr>
            <sz val="10"/>
            <color rgb="FF000000"/>
            <rFont val="Aptos Narrow"/>
          </rPr>
          <t xml:space="preserve">6. 12 Pesukim
</t>
        </r>
        <r>
          <rPr>
            <sz val="10"/>
            <color rgb="FF000000"/>
            <rFont val="Aptos Narrow"/>
          </rPr>
          <t xml:space="preserve">7. 4 Pesukim
</t>
        </r>
        <r>
          <rPr>
            <sz val="10"/>
            <color rgb="FF000000"/>
            <rFont val="Aptos Narrow"/>
          </rPr>
          <t>Haftorah: 27 Pesukim</t>
        </r>
      </text>
    </comment>
    <comment ref="H5" authorId="0" shapeId="0" xr:uid="{86DAD4B5-D664-DF4A-8690-CB7AF067F64C}">
      <text>
        <r>
          <rPr>
            <b/>
            <sz val="10"/>
            <color rgb="FF000000"/>
            <rFont val="Tahoma"/>
            <family val="2"/>
          </rPr>
          <t>Second Paragraph of Shema</t>
        </r>
      </text>
    </comment>
    <comment ref="A6" authorId="0" shapeId="0" xr:uid="{8E15C208-EAD4-E44C-B0BF-146917C9E5C9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126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17 Pesukim 
</t>
        </r>
        <r>
          <rPr>
            <sz val="10"/>
            <color rgb="FF000000"/>
            <rFont val="Aptos Narrow"/>
          </rPr>
          <t xml:space="preserve">2. 18 Pesukim
</t>
        </r>
        <r>
          <rPr>
            <sz val="10"/>
            <color rgb="FF000000"/>
            <rFont val="Aptos Narrow"/>
          </rPr>
          <t xml:space="preserve">3. 22 Pesukim
</t>
        </r>
        <r>
          <rPr>
            <sz val="10"/>
            <color rgb="FF000000"/>
            <rFont val="Aptos Narrow"/>
          </rPr>
          <t xml:space="preserve">4. 21 Pesukim
</t>
        </r>
        <r>
          <rPr>
            <sz val="10"/>
            <color rgb="FF000000"/>
            <rFont val="Aptos Narrow"/>
          </rPr>
          <t xml:space="preserve">5. 8 Pesukim
</t>
        </r>
        <r>
          <rPr>
            <sz val="10"/>
            <color rgb="FF000000"/>
            <rFont val="Aptos Narrow"/>
          </rPr>
          <t xml:space="preserve">6. 18 Pesukim
</t>
        </r>
        <r>
          <rPr>
            <sz val="10"/>
            <color rgb="FF000000"/>
            <rFont val="Aptos Narrow"/>
          </rPr>
          <t xml:space="preserve">7. 22 Pesukim
</t>
        </r>
        <r>
          <rPr>
            <sz val="10"/>
            <color rgb="FF000000"/>
            <rFont val="Aptos Narrow"/>
          </rPr>
          <t>Haftorah: 12 Pesukim</t>
        </r>
      </text>
    </comment>
    <comment ref="G6" authorId="0" shapeId="0" xr:uid="{7E2ADC9F-5238-4546-BD99-F478E5394008}">
      <text>
        <r>
          <rPr>
            <b/>
            <sz val="10"/>
            <color rgb="FF000000"/>
            <rFont val="Tahoma"/>
            <family val="2"/>
          </rPr>
          <t>עשר תעשר</t>
        </r>
      </text>
    </comment>
    <comment ref="H6" authorId="0" shapeId="0" xr:uid="{7C5FC937-21F1-8242-A544-091F64D9F4EB}">
      <text>
        <r>
          <rPr>
            <b/>
            <sz val="10"/>
            <color rgb="FF000000"/>
            <rFont val="Tahoma"/>
            <family val="2"/>
          </rPr>
          <t xml:space="preserve">עשר תעשר </t>
        </r>
        <r>
          <rPr>
            <b/>
            <sz val="10"/>
            <color rgb="FF000000"/>
            <rFont val="Tahoma"/>
            <family val="2"/>
          </rPr>
          <t xml:space="preserve"> continued</t>
        </r>
      </text>
    </comment>
    <comment ref="I6" authorId="0" shapeId="0" xr:uid="{C2B170C6-7918-B047-82E0-E90315E9A3C4}">
      <text>
        <r>
          <rPr>
            <b/>
            <sz val="10"/>
            <color rgb="FF000000"/>
            <rFont val="Tahoma"/>
            <family val="2"/>
          </rPr>
          <t>כל הבכור</t>
        </r>
      </text>
    </comment>
    <comment ref="A7" authorId="0" shapeId="0" xr:uid="{38DE92CF-70B2-6342-B701-815CC7332C24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97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18 Pesukim 
</t>
        </r>
        <r>
          <rPr>
            <sz val="10"/>
            <color rgb="FF000000"/>
            <rFont val="Aptos Narrow"/>
          </rPr>
          <t xml:space="preserve">2. 7 Pesukim
</t>
        </r>
        <r>
          <rPr>
            <sz val="10"/>
            <color rgb="FF000000"/>
            <rFont val="Aptos Narrow"/>
          </rPr>
          <t xml:space="preserve">3. 5 Pesukim
</t>
        </r>
        <r>
          <rPr>
            <sz val="10"/>
            <color rgb="FF000000"/>
            <rFont val="Aptos Narrow"/>
          </rPr>
          <t xml:space="preserve">4. 8 Pesukim
</t>
        </r>
        <r>
          <rPr>
            <sz val="10"/>
            <color rgb="FF000000"/>
            <rFont val="Aptos Narrow"/>
          </rPr>
          <t xml:space="preserve">5. 22 Pesukim
</t>
        </r>
        <r>
          <rPr>
            <sz val="10"/>
            <color rgb="FF000000"/>
            <rFont val="Aptos Narrow"/>
          </rPr>
          <t xml:space="preserve">6. 17 Pesukim
</t>
        </r>
        <r>
          <rPr>
            <sz val="10"/>
            <color rgb="FF000000"/>
            <rFont val="Aptos Narrow"/>
          </rPr>
          <t xml:space="preserve">7. 20 Pesukim
</t>
        </r>
        <r>
          <rPr>
            <sz val="10"/>
            <color rgb="FF000000"/>
            <rFont val="Aptos Narrow"/>
          </rPr>
          <t>Haftorah: 24 Pesukim</t>
        </r>
      </text>
    </comment>
    <comment ref="A8" authorId="0" shapeId="0" xr:uid="{E1EAC9C8-C1F4-EA43-B11D-16E9FF89CB33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110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12 Pesukim 
</t>
        </r>
        <r>
          <rPr>
            <sz val="10"/>
            <color rgb="FF000000"/>
            <rFont val="Aptos Narrow"/>
          </rPr>
          <t xml:space="preserve">2. 9 Pesukim
</t>
        </r>
        <r>
          <rPr>
            <sz val="10"/>
            <color rgb="FF000000"/>
            <rFont val="Aptos Narrow"/>
          </rPr>
          <t xml:space="preserve">3. 29 Pesukim
</t>
        </r>
        <r>
          <rPr>
            <sz val="10"/>
            <color rgb="FF000000"/>
            <rFont val="Aptos Narrow"/>
          </rPr>
          <t xml:space="preserve">4. 17 Pesukim
</t>
        </r>
        <r>
          <rPr>
            <sz val="10"/>
            <color rgb="FF000000"/>
            <rFont val="Aptos Narrow"/>
          </rPr>
          <t xml:space="preserve">5. 6 Pesukim
</t>
        </r>
        <r>
          <rPr>
            <sz val="10"/>
            <color rgb="FF000000"/>
            <rFont val="Aptos Narrow"/>
          </rPr>
          <t xml:space="preserve">6. 9 Pesukim
</t>
        </r>
        <r>
          <rPr>
            <sz val="10"/>
            <color rgb="FF000000"/>
            <rFont val="Aptos Narrow"/>
          </rPr>
          <t xml:space="preserve">7. 28 Pesukim
</t>
        </r>
        <r>
          <rPr>
            <sz val="10"/>
            <color rgb="FF000000"/>
            <rFont val="Aptos Narrow"/>
          </rPr>
          <t>Haftorah: 10 Pesukim</t>
        </r>
      </text>
    </comment>
    <comment ref="I8" authorId="0" shapeId="0" xr:uid="{F72D77E7-0C13-5343-BA75-64D86758D2A9}">
      <text>
        <r>
          <rPr>
            <b/>
            <sz val="10"/>
            <color rgb="FF000000"/>
            <rFont val="Tahoma"/>
            <family val="2"/>
          </rPr>
          <t>Contains Parshat Zachor</t>
        </r>
      </text>
    </comment>
    <comment ref="A9" authorId="0" shapeId="0" xr:uid="{C0B80C2C-3F69-6349-B2A0-BBCE3688C07E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122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11 Pesukim 
</t>
        </r>
        <r>
          <rPr>
            <sz val="10"/>
            <color rgb="FF000000"/>
            <rFont val="Aptos Narrow"/>
          </rPr>
          <t xml:space="preserve">2. 4 Pesukim
</t>
        </r>
        <r>
          <rPr>
            <sz val="10"/>
            <color rgb="FF000000"/>
            <rFont val="Aptos Narrow"/>
          </rPr>
          <t xml:space="preserve">3. 4 Pesukim
</t>
        </r>
        <r>
          <rPr>
            <sz val="10"/>
            <color rgb="FF000000"/>
            <rFont val="Aptos Narrow"/>
          </rPr>
          <t xml:space="preserve">4. 10 Pesukim
</t>
        </r>
        <r>
          <rPr>
            <sz val="10"/>
            <color rgb="FF000000"/>
            <rFont val="Aptos Narrow"/>
          </rPr>
          <t xml:space="preserve">5. 22 Pesukim
</t>
        </r>
        <r>
          <rPr>
            <sz val="10"/>
            <color rgb="FF000000"/>
            <rFont val="Aptos Narrow"/>
          </rPr>
          <t xml:space="preserve">6. 63 Pesukim
</t>
        </r>
        <r>
          <rPr>
            <sz val="10"/>
            <color rgb="FF000000"/>
            <rFont val="Aptos Narrow"/>
          </rPr>
          <t xml:space="preserve">7. 8 Pesukim
</t>
        </r>
        <r>
          <rPr>
            <sz val="10"/>
            <color rgb="FF000000"/>
            <rFont val="Aptos Narrow"/>
          </rPr>
          <t>Haftorah: 22 Pesukim</t>
        </r>
      </text>
    </comment>
    <comment ref="H9" authorId="0" shapeId="0" xr:uid="{051F3BB4-C895-AA45-B37F-83CE74E6CCE1}">
      <text>
        <r>
          <rPr>
            <b/>
            <sz val="10"/>
            <color rgb="FF000000"/>
            <rFont val="Tahoma"/>
            <family val="2"/>
          </rPr>
          <t>תוככה</t>
        </r>
      </text>
    </comment>
    <comment ref="A10" authorId="0" shapeId="0" xr:uid="{6AE85E9F-3D44-8D4A-8E87-80C3F16D1895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40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3 Pesukim 
</t>
        </r>
        <r>
          <rPr>
            <sz val="10"/>
            <color rgb="FF000000"/>
            <rFont val="Aptos Narrow"/>
          </rPr>
          <t xml:space="preserve">2. 3 Pesukim
</t>
        </r>
        <r>
          <rPr>
            <sz val="10"/>
            <color rgb="FF000000"/>
            <rFont val="Aptos Narrow"/>
          </rPr>
          <t xml:space="preserve">3. 14 Pesukim
</t>
        </r>
        <r>
          <rPr>
            <sz val="10"/>
            <color rgb="FF000000"/>
            <rFont val="Aptos Narrow"/>
          </rPr>
          <t xml:space="preserve">4. 6 Pesukim
</t>
        </r>
        <r>
          <rPr>
            <sz val="10"/>
            <color rgb="FF000000"/>
            <rFont val="Aptos Narrow"/>
          </rPr>
          <t xml:space="preserve">5. 4 Pesukim
</t>
        </r>
        <r>
          <rPr>
            <sz val="10"/>
            <color rgb="FF000000"/>
            <rFont val="Aptos Narrow"/>
          </rPr>
          <t xml:space="preserve">6. 4 Pesukim
</t>
        </r>
        <r>
          <rPr>
            <sz val="10"/>
            <color rgb="FF000000"/>
            <rFont val="Aptos Narrow"/>
          </rPr>
          <t xml:space="preserve">7. 6 Pesukim
</t>
        </r>
        <r>
          <rPr>
            <sz val="10"/>
            <color rgb="FF000000"/>
            <rFont val="Aptos Narrow"/>
          </rPr>
          <t>Haftorah: 23 Pesukim</t>
        </r>
      </text>
    </comment>
    <comment ref="A11" authorId="0" shapeId="0" xr:uid="{2770F372-63ED-2D47-87AA-3FB777605675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30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3 Pesukim 
</t>
        </r>
        <r>
          <rPr>
            <sz val="10"/>
            <color rgb="FF000000"/>
            <rFont val="Aptos Narrow"/>
          </rPr>
          <t xml:space="preserve">2. 3 Pesukim
</t>
        </r>
        <r>
          <rPr>
            <sz val="10"/>
            <color rgb="FF000000"/>
            <rFont val="Aptos Narrow"/>
          </rPr>
          <t xml:space="preserve">3. 3 Pesukim
</t>
        </r>
        <r>
          <rPr>
            <sz val="10"/>
            <color rgb="FF000000"/>
            <rFont val="Aptos Narrow"/>
          </rPr>
          <t xml:space="preserve">4. 3 Pesukim
</t>
        </r>
        <r>
          <rPr>
            <sz val="10"/>
            <color rgb="FF000000"/>
            <rFont val="Aptos Narrow"/>
          </rPr>
          <t xml:space="preserve">5. 6 Pesukim
</t>
        </r>
        <r>
          <rPr>
            <sz val="10"/>
            <color rgb="FF000000"/>
            <rFont val="Aptos Narrow"/>
          </rPr>
          <t xml:space="preserve">6. 5 Pesukim
</t>
        </r>
        <r>
          <rPr>
            <sz val="10"/>
            <color rgb="FF000000"/>
            <rFont val="Aptos Narrow"/>
          </rPr>
          <t xml:space="preserve">7. 6 Pesukim
</t>
        </r>
        <r>
          <rPr>
            <sz val="10"/>
            <color rgb="FF000000"/>
            <rFont val="Aptos Narrow"/>
          </rPr>
          <t>Haftorah: 16 Pesukim</t>
        </r>
      </text>
    </comment>
    <comment ref="A12" authorId="0" shapeId="0" xr:uid="{EC1E6E59-4BBC-3A4E-8BCC-FE6F04D7EF13}">
      <text>
        <r>
          <rPr>
            <b/>
            <sz val="10"/>
            <color rgb="FF000000"/>
            <rFont val="Aptos Narrow"/>
          </rPr>
          <t>Double-Parsha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70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20 Pesukim 
</t>
        </r>
        <r>
          <rPr>
            <sz val="10"/>
            <color rgb="FF000000"/>
            <rFont val="Aptos Narrow"/>
          </rPr>
          <t xml:space="preserve">2. 6 Pesukim
</t>
        </r>
        <r>
          <rPr>
            <sz val="10"/>
            <color rgb="FF000000"/>
            <rFont val="Aptos Narrow"/>
          </rPr>
          <t xml:space="preserve">3. 8 Pesukim
</t>
        </r>
        <r>
          <rPr>
            <sz val="10"/>
            <color rgb="FF000000"/>
            <rFont val="Aptos Narrow"/>
          </rPr>
          <t xml:space="preserve">4. 12 Pesukim
</t>
        </r>
        <r>
          <rPr>
            <sz val="10"/>
            <color rgb="FF000000"/>
            <rFont val="Aptos Narrow"/>
          </rPr>
          <t xml:space="preserve">5. 7 Pesukim
</t>
        </r>
        <r>
          <rPr>
            <sz val="10"/>
            <color rgb="FF000000"/>
            <rFont val="Aptos Narrow"/>
          </rPr>
          <t xml:space="preserve">6. 6 Pesukim
</t>
        </r>
        <r>
          <rPr>
            <sz val="10"/>
            <color rgb="FF000000"/>
            <rFont val="Aptos Narrow"/>
          </rPr>
          <t xml:space="preserve">7. 11 Pesukim
</t>
        </r>
        <r>
          <rPr>
            <sz val="10"/>
            <color rgb="FF000000"/>
            <rFont val="Aptos Narrow"/>
          </rPr>
          <t>Haftorah: 23 Pesukim</t>
        </r>
      </text>
    </comment>
    <comment ref="J12" authorId="0" shapeId="0" xr:uid="{6C7FB91A-600C-1D46-BBC0-1495F6B7B4F6}">
      <text>
        <r>
          <rPr>
            <b/>
            <sz val="10"/>
            <color rgb="FF000000"/>
            <rFont val="Tahoma"/>
            <family val="2"/>
          </rPr>
          <t xml:space="preserve">Same one as for </t>
        </r>
        <r>
          <rPr>
            <b/>
            <sz val="10"/>
            <color rgb="FF000000"/>
            <rFont val="Tahoma"/>
            <family val="2"/>
          </rPr>
          <t>נצבים</t>
        </r>
      </text>
    </comment>
    <comment ref="A13" authorId="0" shapeId="0" xr:uid="{B00F37EF-9F79-614E-8896-DC012A2A6738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52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6 Pesukim 
</t>
        </r>
        <r>
          <rPr>
            <sz val="10"/>
            <color rgb="FF000000"/>
            <rFont val="Aptos Narrow"/>
          </rPr>
          <t xml:space="preserve">2. 6 Pesukim
</t>
        </r>
        <r>
          <rPr>
            <sz val="10"/>
            <color rgb="FF000000"/>
            <rFont val="Aptos Narrow"/>
          </rPr>
          <t xml:space="preserve">3. 6 Pesukim
</t>
        </r>
        <r>
          <rPr>
            <sz val="10"/>
            <color rgb="FF000000"/>
            <rFont val="Aptos Narrow"/>
          </rPr>
          <t xml:space="preserve">4. 10 Pesukim
</t>
        </r>
        <r>
          <rPr>
            <sz val="10"/>
            <color rgb="FF000000"/>
            <rFont val="Aptos Narrow"/>
          </rPr>
          <t xml:space="preserve">5. 11 Pesukim
</t>
        </r>
        <r>
          <rPr>
            <sz val="10"/>
            <color rgb="FF000000"/>
            <rFont val="Aptos Narrow"/>
          </rPr>
          <t xml:space="preserve">6. 4 Pesukim
</t>
        </r>
        <r>
          <rPr>
            <sz val="10"/>
            <color rgb="FF000000"/>
            <rFont val="Aptos Narrow"/>
          </rPr>
          <t xml:space="preserve">7. 9 Pesukim
</t>
        </r>
        <r>
          <rPr>
            <sz val="10"/>
            <color rgb="FF000000"/>
            <rFont val="Aptos Narrow"/>
          </rPr>
          <t>Haftorah: 51 Pesukim</t>
        </r>
      </text>
    </comment>
    <comment ref="A14" authorId="0" shapeId="0" xr:uid="{3813F5F4-658F-9C4E-8D57-FC5FAD570E49}">
      <text>
        <r>
          <rPr>
            <b/>
            <sz val="10"/>
            <color rgb="FF000000"/>
            <rFont val="Aptos Narrow"/>
          </rPr>
          <t>Parsha Details: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10"/>
            <color rgb="FF000000"/>
            <rFont val="Aptos Narrow"/>
          </rPr>
          <t>41 Pesukim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1. 7 Pesukim 
</t>
        </r>
        <r>
          <rPr>
            <sz val="10"/>
            <color rgb="FF000000"/>
            <rFont val="Aptos Narrow"/>
          </rPr>
          <t xml:space="preserve">2. 5 Pesukim
</t>
        </r>
        <r>
          <rPr>
            <sz val="10"/>
            <color rgb="FF000000"/>
            <rFont val="Aptos Narrow"/>
          </rPr>
          <t xml:space="preserve">3. 5 Pesukim
</t>
        </r>
        <r>
          <rPr>
            <sz val="10"/>
            <color rgb="FF000000"/>
            <rFont val="Aptos Narrow"/>
          </rPr>
          <t xml:space="preserve">4. 4 Pesukim
</t>
        </r>
        <r>
          <rPr>
            <sz val="10"/>
            <color rgb="FF000000"/>
            <rFont val="Aptos Narrow"/>
          </rPr>
          <t xml:space="preserve">5. 5 Pesukim
</t>
        </r>
        <r>
          <rPr>
            <sz val="10"/>
            <color rgb="FF000000"/>
            <rFont val="Aptos Narrow"/>
          </rPr>
          <t xml:space="preserve">6. 15 Pesukim
</t>
        </r>
        <r>
          <rPr>
            <sz val="10"/>
            <color rgb="FF000000"/>
            <rFont val="Aptos Narrow"/>
          </rPr>
          <t xml:space="preserve">Haftorah: 18 Pesukim
</t>
        </r>
        <r>
          <rPr>
            <sz val="10"/>
            <color rgb="FF000000"/>
            <rFont val="Aptos Narrow"/>
          </rPr>
          <t xml:space="preserve">
</t>
        </r>
        <r>
          <rPr>
            <i/>
            <sz val="8"/>
            <color rgb="FF000000"/>
            <rFont val="Aptos Narrow"/>
          </rPr>
          <t>(This is the Torah Reading for Simchat Torah)</t>
        </r>
        <r>
          <rPr>
            <sz val="8"/>
            <color rgb="FF000000"/>
            <rFont val="Aptos Narrow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Korman</author>
  </authors>
  <commentList>
    <comment ref="A11" authorId="0" shapeId="0" xr:uid="{740A8584-9DAB-8041-BF59-7B1EB4537710}">
      <text>
        <r>
          <rPr>
            <sz val="8"/>
            <color rgb="FF000000"/>
            <rFont val="Aptos Narrow"/>
          </rPr>
          <t xml:space="preserve">* Because we add </t>
        </r>
        <r>
          <rPr>
            <sz val="8"/>
            <color rgb="FF000000"/>
            <rFont val="Aptos Narrow"/>
          </rPr>
          <t>עשר</t>
        </r>
        <r>
          <rPr>
            <sz val="8"/>
            <color rgb="FF000000"/>
            <rFont val="Aptos Narrow"/>
          </rPr>
          <t xml:space="preserve"> </t>
        </r>
        <r>
          <rPr>
            <sz val="8"/>
            <color rgb="FF000000"/>
            <rFont val="Aptos Narrow"/>
          </rPr>
          <t>תעשר</t>
        </r>
        <r>
          <rPr>
            <sz val="8"/>
            <color rgb="FF000000"/>
            <rFont val="Aptos Narrow"/>
          </rPr>
          <t xml:space="preserve">  on shabbos, this </t>
        </r>
        <r>
          <rPr>
            <sz val="8"/>
            <color rgb="FF000000"/>
            <rFont val="Aptos Narrow"/>
          </rPr>
          <t>קריאה</t>
        </r>
        <r>
          <rPr>
            <sz val="8"/>
            <color rgb="FF000000"/>
            <rFont val="Aptos Narrow"/>
          </rPr>
          <t xml:space="preserve">  is set up differently than the others in this section. When this </t>
        </r>
        <r>
          <rPr>
            <sz val="8"/>
            <color rgb="FF000000"/>
            <rFont val="Aptos Narrow"/>
          </rPr>
          <t>קריאה</t>
        </r>
        <r>
          <rPr>
            <sz val="8"/>
            <color rgb="FF000000"/>
            <rFont val="Aptos Narrow"/>
          </rPr>
          <t xml:space="preserve"> is read on shabbos, we add more to the </t>
        </r>
        <r>
          <rPr>
            <sz val="8"/>
            <color rgb="FF000000"/>
            <rFont val="Aptos Narrow"/>
          </rPr>
          <t>קריאה</t>
        </r>
        <r>
          <rPr>
            <sz val="8"/>
            <color rgb="FF000000"/>
            <rFont val="Aptos Narrow"/>
          </rPr>
          <t xml:space="preserve"> instead of splitting the whole thing up differently. Because of this, I have set this one row up so that Aliyot 3-7 are the usual </t>
        </r>
        <r>
          <rPr>
            <sz val="8"/>
            <color rgb="FF000000"/>
            <rFont val="Aptos Narrow"/>
          </rPr>
          <t>כל</t>
        </r>
        <r>
          <rPr>
            <sz val="8"/>
            <color rgb="FF000000"/>
            <rFont val="Aptos Narrow"/>
          </rPr>
          <t xml:space="preserve"> </t>
        </r>
        <r>
          <rPr>
            <sz val="8"/>
            <color rgb="FF000000"/>
            <rFont val="Aptos Narrow"/>
          </rPr>
          <t>הבכור</t>
        </r>
        <r>
          <rPr>
            <sz val="8"/>
            <color rgb="FF000000"/>
            <rFont val="Aptos Narrow"/>
          </rPr>
          <t xml:space="preserve">  and the first two are </t>
        </r>
        <r>
          <rPr>
            <sz val="8"/>
            <color rgb="FF000000"/>
            <rFont val="Aptos Narrow"/>
          </rPr>
          <t>עשר</t>
        </r>
        <r>
          <rPr>
            <sz val="8"/>
            <color rgb="FF000000"/>
            <rFont val="Aptos Narrow"/>
          </rPr>
          <t xml:space="preserve"> </t>
        </r>
        <r>
          <rPr>
            <sz val="8"/>
            <color rgb="FF000000"/>
            <rFont val="Aptos Narrow"/>
          </rPr>
          <t>תעשר</t>
        </r>
        <r>
          <rPr>
            <sz val="8"/>
            <color rgb="FF000000"/>
            <rFont val="Aptos Narrow"/>
          </rPr>
          <t xml:space="preserve"> .</t>
        </r>
      </text>
    </comment>
  </commentList>
</comments>
</file>

<file path=xl/sharedStrings.xml><?xml version="1.0" encoding="utf-8"?>
<sst xmlns="http://schemas.openxmlformats.org/spreadsheetml/2006/main" count="451" uniqueCount="149">
  <si>
    <t>בראשית</t>
  </si>
  <si>
    <t>נח</t>
  </si>
  <si>
    <t>לך-לך</t>
  </si>
  <si>
    <t>וירא</t>
  </si>
  <si>
    <t>חיי שרה</t>
  </si>
  <si>
    <t>תולדות</t>
  </si>
  <si>
    <t>ויצא</t>
  </si>
  <si>
    <t>וישלח</t>
  </si>
  <si>
    <t>וישב</t>
  </si>
  <si>
    <t>מקץ</t>
  </si>
  <si>
    <t>ויגש</t>
  </si>
  <si>
    <t>ויחי</t>
  </si>
  <si>
    <t>Total:</t>
  </si>
  <si>
    <t>ראשון</t>
  </si>
  <si>
    <t>שני</t>
  </si>
  <si>
    <t>שלישי</t>
  </si>
  <si>
    <t>רביעי</t>
  </si>
  <si>
    <t>חמישי</t>
  </si>
  <si>
    <t>שישי</t>
  </si>
  <si>
    <t>שביעי</t>
  </si>
  <si>
    <t>הפטרה</t>
  </si>
  <si>
    <t>שמות</t>
  </si>
  <si>
    <t>בא</t>
  </si>
  <si>
    <t>בשלח</t>
  </si>
  <si>
    <t>יתרו</t>
  </si>
  <si>
    <t>משפטים</t>
  </si>
  <si>
    <t>תרומה</t>
  </si>
  <si>
    <t>תצוה</t>
  </si>
  <si>
    <t>כי תשא</t>
  </si>
  <si>
    <t>ויקהל</t>
  </si>
  <si>
    <t>פקודי</t>
  </si>
  <si>
    <t>ויקהל-פקודי</t>
  </si>
  <si>
    <t>וארא</t>
  </si>
  <si>
    <t>ויקרא</t>
  </si>
  <si>
    <t>צו</t>
  </si>
  <si>
    <t>שמיני</t>
  </si>
  <si>
    <t>תזריע</t>
  </si>
  <si>
    <t>מצורע</t>
  </si>
  <si>
    <t>תזריע-מצורע</t>
  </si>
  <si>
    <t>אחרי מות</t>
  </si>
  <si>
    <t>קדושים</t>
  </si>
  <si>
    <t>אחרי מות-קדושים</t>
  </si>
  <si>
    <t>אמר</t>
  </si>
  <si>
    <t>בהר</t>
  </si>
  <si>
    <t>בחוקותי</t>
  </si>
  <si>
    <t>בהר-בחוקותי</t>
  </si>
  <si>
    <t>במדבר</t>
  </si>
  <si>
    <t>נשא</t>
  </si>
  <si>
    <t>בהעלותך</t>
  </si>
  <si>
    <t>שלח</t>
  </si>
  <si>
    <t>קרח</t>
  </si>
  <si>
    <t>חקת</t>
  </si>
  <si>
    <t>בלק</t>
  </si>
  <si>
    <t>חקת-בלק</t>
  </si>
  <si>
    <t>פנחס</t>
  </si>
  <si>
    <t>מטות</t>
  </si>
  <si>
    <t>מסעי</t>
  </si>
  <si>
    <t>מטות-מסעי</t>
  </si>
  <si>
    <t>דברים</t>
  </si>
  <si>
    <t>ואתחנן</t>
  </si>
  <si>
    <t>עקב</t>
  </si>
  <si>
    <t>ראה</t>
  </si>
  <si>
    <t>שופטים</t>
  </si>
  <si>
    <t>כי תצא</t>
  </si>
  <si>
    <t>כי תבא</t>
  </si>
  <si>
    <t>נצבים</t>
  </si>
  <si>
    <t>וילך</t>
  </si>
  <si>
    <t>האזינו</t>
  </si>
  <si>
    <t>נצבים-וילך</t>
  </si>
  <si>
    <t>וזאת הברכה</t>
  </si>
  <si>
    <t>Additional Readings</t>
  </si>
  <si>
    <t>יום כיפור</t>
  </si>
  <si>
    <t>סוכות יום א-ב</t>
  </si>
  <si>
    <t>חול המועד סוכות</t>
  </si>
  <si>
    <t>הושענא רבא</t>
  </si>
  <si>
    <t>ספר בראשית</t>
  </si>
  <si>
    <t>ספר שמות</t>
  </si>
  <si>
    <t>ספר ויקרא</t>
  </si>
  <si>
    <t>ספר במדבר</t>
  </si>
  <si>
    <t>ספר דברים</t>
  </si>
  <si>
    <t>חמש מגילות</t>
  </si>
  <si>
    <t>איכה</t>
  </si>
  <si>
    <t>אסתר</t>
  </si>
  <si>
    <t>שיר השירים</t>
  </si>
  <si>
    <t>קהלת</t>
  </si>
  <si>
    <t>רות</t>
  </si>
  <si>
    <t>פרק א</t>
  </si>
  <si>
    <t>פרק ב</t>
  </si>
  <si>
    <t>פרק ג</t>
  </si>
  <si>
    <t>פרק ד</t>
  </si>
  <si>
    <t>פרק ה</t>
  </si>
  <si>
    <t>פרק ו</t>
  </si>
  <si>
    <t>פרק ז</t>
  </si>
  <si>
    <t>פרק ח</t>
  </si>
  <si>
    <t>פרק ט</t>
  </si>
  <si>
    <t>פרק י</t>
  </si>
  <si>
    <t>ראש חודש</t>
  </si>
  <si>
    <t>תענית ציבור</t>
  </si>
  <si>
    <t>חנוכה יום א׳</t>
  </si>
  <si>
    <t>חנוכה יום ב׳-ז׳</t>
  </si>
  <si>
    <t>פורים</t>
  </si>
  <si>
    <t>פסח יום ז׳</t>
  </si>
  <si>
    <t>שבועות יום א׳</t>
  </si>
  <si>
    <t>תשעה באב</t>
  </si>
  <si>
    <t>חנוכה יום ח׳</t>
  </si>
  <si>
    <t>פסח יום א׳</t>
  </si>
  <si>
    <t>פסח יום ב׳</t>
  </si>
  <si>
    <t>חול המועד פסח יום א׳</t>
  </si>
  <si>
    <t>חול המועד פסח יום ב׳</t>
  </si>
  <si>
    <t>חול המועד פסח יום ג׳</t>
  </si>
  <si>
    <t>חול המועד פסח יום ד׳</t>
  </si>
  <si>
    <t>Full Parshiot Completed</t>
  </si>
  <si>
    <t>Total Aliyot Completed</t>
  </si>
  <si>
    <t>xx</t>
  </si>
  <si>
    <t>ראש השנה יום א׳</t>
  </si>
  <si>
    <t>ראש השנה יום ב׳</t>
  </si>
  <si>
    <t>מפטיר</t>
  </si>
  <si>
    <t>שבת חוה״מ פסח</t>
  </si>
  <si>
    <t>פרק יא</t>
  </si>
  <si>
    <t>פרק יב</t>
  </si>
  <si>
    <t>Full Parsha</t>
  </si>
  <si>
    <t>עשר תעשר/כל הבכור</t>
  </si>
  <si>
    <t>Miscellaneous</t>
  </si>
  <si>
    <t>פרשת שקלים</t>
  </si>
  <si>
    <t>פרשת זכור</t>
  </si>
  <si>
    <t>פרשת החודש</t>
  </si>
  <si>
    <t>פרשת פרה</t>
  </si>
  <si>
    <t>Total</t>
  </si>
  <si>
    <t># of Pesukim</t>
  </si>
  <si>
    <t>Total Pesukim Learned:</t>
  </si>
  <si>
    <t>Total Aliyot Learned:</t>
  </si>
  <si>
    <t>Aliyot Learned</t>
  </si>
  <si>
    <t xml:space="preserve"> </t>
  </si>
  <si>
    <t>Whole Torah</t>
  </si>
  <si>
    <t>Completion Percentage by Aliyah</t>
  </si>
  <si>
    <t>Completion Percentage by Pasuk</t>
  </si>
  <si>
    <t>Aliyot</t>
  </si>
  <si>
    <t>Full Parsha Statistics</t>
  </si>
  <si>
    <t>Total Pesukim Completed</t>
  </si>
  <si>
    <t>Completion Percentage</t>
  </si>
  <si>
    <t>Torah Totals</t>
  </si>
  <si>
    <t>Pesukim</t>
  </si>
  <si>
    <t>Parshiot</t>
  </si>
  <si>
    <t xml:space="preserve"> בראשית</t>
  </si>
  <si>
    <t xml:space="preserve"> שמות</t>
  </si>
  <si>
    <t xml:space="preserve"> במדבר</t>
  </si>
  <si>
    <t>Totals</t>
  </si>
  <si>
    <t>Sefer</t>
  </si>
  <si>
    <t>My Leining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</si>
</sst>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1"/>
      <name val="Arial Hebrew"/>
      <charset val="177"/>
    </font>
    <font>
      <sz val="12"/>
      <color theme="9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l Tarikh Regular"/>
    </font>
    <font>
      <b/>
      <sz val="12"/>
      <color rgb="FF000000"/>
      <name val="Al Tarikh Regular"/>
    </font>
    <font>
      <sz val="8"/>
      <name val="Aptos Narrow"/>
      <family val="2"/>
      <scheme val="minor"/>
    </font>
    <font>
      <sz val="12"/>
      <color theme="1"/>
      <name val="Arial Hebrew"/>
      <charset val="177"/>
    </font>
    <font>
      <b/>
      <sz val="12"/>
      <color theme="1"/>
      <name val="Aptos Narrow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000000"/>
      <name val="Aptos Narrow"/>
      <scheme val="minor"/>
    </font>
    <font>
      <b/>
      <sz val="10"/>
      <color rgb="FF000000"/>
      <name val="Aptos Narrow"/>
    </font>
    <font>
      <sz val="10"/>
      <color rgb="FF000000"/>
      <name val="Aptos Narrow"/>
    </font>
    <font>
      <i/>
      <sz val="10"/>
      <color rgb="FF000000"/>
      <name val="Aptos Narrow"/>
    </font>
    <font>
      <i/>
      <sz val="8"/>
      <color rgb="FF000000"/>
      <name val="Aptos Narrow"/>
    </font>
    <font>
      <sz val="8"/>
      <color rgb="FF000000"/>
      <name val="Aptos Narrow"/>
    </font>
    <font>
      <b/>
      <sz val="11"/>
      <color theme="1"/>
      <name val="Arial"/>
      <family val="2"/>
    </font>
    <font>
      <b/>
      <sz val="12"/>
      <color theme="9"/>
      <name val="Arial Hebrew"/>
      <charset val="177"/>
    </font>
    <font>
      <sz val="18"/>
      <color theme="3"/>
      <name val="Aptos Display"/>
      <family val="2"/>
      <scheme val="major"/>
    </font>
    <font>
      <b/>
      <sz val="18"/>
      <color theme="3"/>
      <name val="Aptos Display"/>
      <scheme val="major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 Hebrew"/>
      <charset val="177"/>
    </font>
    <font>
      <b/>
      <sz val="12"/>
      <color rgb="FFFF0000"/>
      <name val="Arial Hebrew"/>
      <charset val="177"/>
    </font>
    <font>
      <b/>
      <sz val="15"/>
      <color theme="3"/>
      <name val="Rockwell"/>
      <family val="1"/>
    </font>
    <font>
      <b/>
      <sz val="15"/>
      <color rgb="FF0E2841"/>
      <name val="Rockwell"/>
      <family val="1"/>
    </font>
    <font>
      <b/>
      <sz val="30"/>
      <color theme="3"/>
      <name val="Rockwell"/>
      <family val="1"/>
    </font>
    <font>
      <b/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3"/>
      <color theme="0"/>
      <name val="Aptos Narrow"/>
      <family val="2"/>
      <scheme val="minor"/>
    </font>
    <font>
      <b/>
      <sz val="16"/>
      <color theme="0"/>
      <name val="Aptos Narrow"/>
      <scheme val="minor"/>
    </font>
    <font>
      <sz val="16"/>
      <color theme="0"/>
      <name val="Aptos Narrow"/>
      <family val="2"/>
      <scheme val="minor"/>
    </font>
    <font>
      <b/>
      <sz val="13"/>
      <color theme="3"/>
      <name val="Rockwell"/>
      <family val="1"/>
    </font>
    <font>
      <b/>
      <sz val="11"/>
      <color theme="4"/>
      <name val="Arial"/>
      <family val="2"/>
    </font>
    <font>
      <b/>
      <sz val="12"/>
      <color theme="4"/>
      <name val="Arial Hebrew"/>
      <charset val="177"/>
    </font>
    <font>
      <b/>
      <sz val="12"/>
      <color theme="0"/>
      <name val="Aptos Narrow"/>
      <family val="2"/>
      <scheme val="minor"/>
    </font>
    <font>
      <b/>
      <sz val="12"/>
      <color theme="1"/>
      <name val="Aptos Display"/>
      <scheme val="major"/>
    </font>
    <font>
      <b/>
      <sz val="18"/>
      <color theme="0"/>
      <name val="Aptos Display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D57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/>
        <bgColor rgb="FF000000"/>
      </patternFill>
    </fill>
    <fill>
      <patternFill patternType="solid">
        <fgColor rgb="FFAB7942"/>
        <bgColor indexed="64"/>
      </patternFill>
    </fill>
    <fill>
      <patternFill patternType="solid">
        <fgColor rgb="FFAB7942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/>
        <bgColor theme="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theme="1"/>
      </top>
      <bottom style="double">
        <color theme="4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/>
      <top/>
      <bottom style="double">
        <color theme="4"/>
      </bottom>
      <diagonal/>
    </border>
    <border>
      <left style="double">
        <color rgb="FFAB794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AB7942"/>
      </right>
      <top style="thin">
        <color indexed="64"/>
      </top>
      <bottom style="thin">
        <color indexed="64"/>
      </bottom>
      <diagonal/>
    </border>
    <border>
      <left style="double">
        <color rgb="FFAB7942"/>
      </left>
      <right/>
      <top style="thin">
        <color theme="4"/>
      </top>
      <bottom style="double">
        <color rgb="FFAB7942"/>
      </bottom>
      <diagonal/>
    </border>
    <border>
      <left/>
      <right/>
      <top style="thin">
        <color theme="4"/>
      </top>
      <bottom style="double">
        <color rgb="FFAB7942"/>
      </bottom>
      <diagonal/>
    </border>
    <border>
      <left/>
      <right style="double">
        <color rgb="FFAB7942"/>
      </right>
      <top style="thin">
        <color indexed="64"/>
      </top>
      <bottom style="double">
        <color rgb="FFAB7942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AB794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rgb="FFAB7942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9" fillId="0" borderId="4" applyNumberFormat="0" applyFill="0" applyAlignment="0" applyProtection="0"/>
    <xf numFmtId="0" fontId="20" fillId="0" borderId="0" applyNumberFormat="0" applyFill="0" applyBorder="0" applyAlignment="0" applyProtection="0"/>
  </cellStyleXfs>
  <cellXfs count="148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0" borderId="1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9" fillId="2" borderId="4" xfId="2" applyFill="1" applyAlignment="1">
      <alignment horizontal="right"/>
    </xf>
    <xf numFmtId="0" fontId="9" fillId="0" borderId="4" xfId="2"/>
    <xf numFmtId="0" fontId="19" fillId="2" borderId="1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1" xfId="0" applyFont="1" applyFill="1" applyBorder="1" applyAlignment="1">
      <alignment horizontal="center"/>
    </xf>
    <xf numFmtId="0" fontId="9" fillId="0" borderId="1" xfId="2" applyBorder="1"/>
    <xf numFmtId="0" fontId="3" fillId="0" borderId="6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6" xfId="0" applyFont="1" applyBorder="1" applyAlignment="1">
      <alignment horizontal="center"/>
    </xf>
    <xf numFmtId="0" fontId="2" fillId="2" borderId="3" xfId="0" applyFont="1" applyFill="1" applyBorder="1"/>
    <xf numFmtId="0" fontId="2" fillId="2" borderId="8" xfId="0" applyFont="1" applyFill="1" applyBorder="1"/>
    <xf numFmtId="0" fontId="3" fillId="0" borderId="2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9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3" borderId="5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1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right"/>
    </xf>
    <xf numFmtId="0" fontId="23" fillId="3" borderId="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/>
    </xf>
    <xf numFmtId="0" fontId="2" fillId="2" borderId="13" xfId="0" applyFont="1" applyFill="1" applyBorder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5" fillId="2" borderId="1" xfId="0" applyFont="1" applyFill="1" applyBorder="1"/>
    <xf numFmtId="0" fontId="9" fillId="2" borderId="15" xfId="2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25" fillId="2" borderId="1" xfId="0" applyFont="1" applyFill="1" applyBorder="1" applyAlignment="1">
      <alignment horizontal="right"/>
    </xf>
    <xf numFmtId="0" fontId="23" fillId="6" borderId="1" xfId="0" applyFont="1" applyFill="1" applyBorder="1" applyAlignment="1">
      <alignment horizontal="center"/>
    </xf>
    <xf numFmtId="0" fontId="24" fillId="6" borderId="1" xfId="0" applyFont="1" applyFill="1" applyBorder="1" applyAlignment="1">
      <alignment horizontal="center"/>
    </xf>
    <xf numFmtId="0" fontId="24" fillId="6" borderId="14" xfId="0" applyFont="1" applyFill="1" applyBorder="1" applyAlignment="1">
      <alignment horizontal="center"/>
    </xf>
    <xf numFmtId="0" fontId="25" fillId="2" borderId="3" xfId="0" applyFont="1" applyFill="1" applyBorder="1"/>
    <xf numFmtId="0" fontId="25" fillId="2" borderId="3" xfId="0" applyFont="1" applyFill="1" applyBorder="1" applyAlignment="1">
      <alignment horizontal="right"/>
    </xf>
    <xf numFmtId="0" fontId="18" fillId="6" borderId="5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3" fillId="7" borderId="10" xfId="0" applyFont="1" applyFill="1" applyBorder="1" applyAlignment="1">
      <alignment horizontal="right" readingOrder="2"/>
    </xf>
    <xf numFmtId="0" fontId="23" fillId="6" borderId="12" xfId="0" applyFont="1" applyFill="1" applyBorder="1" applyAlignment="1">
      <alignment horizontal="right"/>
    </xf>
    <xf numFmtId="0" fontId="19" fillId="0" borderId="1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13" xfId="0" applyFont="1" applyFill="1" applyBorder="1" applyAlignment="1">
      <alignment horizontal="center"/>
    </xf>
    <xf numFmtId="0" fontId="23" fillId="9" borderId="10" xfId="0" applyFont="1" applyFill="1" applyBorder="1" applyAlignment="1">
      <alignment horizontal="right" readingOrder="2"/>
    </xf>
    <xf numFmtId="0" fontId="23" fillId="8" borderId="5" xfId="0" applyFont="1" applyFill="1" applyBorder="1" applyAlignment="1">
      <alignment horizontal="center"/>
    </xf>
    <xf numFmtId="0" fontId="24" fillId="8" borderId="5" xfId="0" applyFont="1" applyFill="1" applyBorder="1" applyAlignment="1">
      <alignment horizontal="center"/>
    </xf>
    <xf numFmtId="0" fontId="24" fillId="8" borderId="1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2" borderId="4" xfId="2" applyFill="1" applyAlignment="1">
      <alignment horizontal="center"/>
    </xf>
    <xf numFmtId="0" fontId="9" fillId="4" borderId="4" xfId="2" applyFill="1" applyAlignment="1">
      <alignment horizontal="center"/>
    </xf>
    <xf numFmtId="0" fontId="23" fillId="10" borderId="5" xfId="0" applyFont="1" applyFill="1" applyBorder="1" applyAlignment="1">
      <alignment horizontal="center"/>
    </xf>
    <xf numFmtId="0" fontId="24" fillId="10" borderId="5" xfId="0" applyFont="1" applyFill="1" applyBorder="1" applyAlignment="1">
      <alignment horizontal="center"/>
    </xf>
    <xf numFmtId="0" fontId="24" fillId="10" borderId="11" xfId="0" applyFont="1" applyFill="1" applyBorder="1" applyAlignment="1">
      <alignment horizontal="center"/>
    </xf>
    <xf numFmtId="0" fontId="22" fillId="10" borderId="12" xfId="0" applyFont="1" applyFill="1" applyBorder="1" applyAlignment="1">
      <alignment horizontal="right"/>
    </xf>
    <xf numFmtId="0" fontId="23" fillId="10" borderId="1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/>
    </xf>
    <xf numFmtId="0" fontId="24" fillId="10" borderId="14" xfId="0" applyFont="1" applyFill="1" applyBorder="1" applyAlignment="1">
      <alignment horizontal="center"/>
    </xf>
    <xf numFmtId="0" fontId="23" fillId="3" borderId="10" xfId="0" applyFont="1" applyFill="1" applyBorder="1" applyAlignment="1">
      <alignment horizontal="right"/>
    </xf>
    <xf numFmtId="0" fontId="23" fillId="10" borderId="12" xfId="0" applyFont="1" applyFill="1" applyBorder="1" applyAlignment="1">
      <alignment horizontal="right"/>
    </xf>
    <xf numFmtId="0" fontId="9" fillId="0" borderId="4" xfId="2" applyAlignment="1">
      <alignment horizontal="center"/>
    </xf>
    <xf numFmtId="0" fontId="2" fillId="0" borderId="6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6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2" borderId="15" xfId="2" applyFill="1" applyBorder="1" applyAlignment="1">
      <alignment horizontal="center"/>
    </xf>
    <xf numFmtId="0" fontId="9" fillId="4" borderId="17" xfId="2" applyFill="1" applyBorder="1" applyAlignment="1">
      <alignment horizontal="center"/>
    </xf>
    <xf numFmtId="0" fontId="9" fillId="0" borderId="4" xfId="2" applyFill="1" applyAlignment="1">
      <alignment horizontal="center"/>
    </xf>
    <xf numFmtId="0" fontId="34" fillId="11" borderId="3" xfId="0" applyFont="1" applyFill="1" applyBorder="1" applyAlignment="1">
      <alignment horizontal="center"/>
    </xf>
    <xf numFmtId="0" fontId="34" fillId="12" borderId="3" xfId="0" applyFont="1" applyFill="1" applyBorder="1" applyAlignment="1">
      <alignment horizontal="center"/>
    </xf>
    <xf numFmtId="0" fontId="30" fillId="0" borderId="9" xfId="0" applyFont="1" applyBorder="1"/>
    <xf numFmtId="0" fontId="34" fillId="11" borderId="1" xfId="0" applyFont="1" applyFill="1" applyBorder="1" applyAlignment="1">
      <alignment horizontal="center"/>
    </xf>
    <xf numFmtId="0" fontId="30" fillId="0" borderId="16" xfId="0" applyFont="1" applyBorder="1"/>
    <xf numFmtId="0" fontId="34" fillId="12" borderId="1" xfId="0" applyFont="1" applyFill="1" applyBorder="1" applyAlignment="1">
      <alignment horizontal="center"/>
    </xf>
    <xf numFmtId="0" fontId="31" fillId="0" borderId="18" xfId="2" applyFont="1" applyBorder="1" applyAlignment="1">
      <alignment horizontal="right"/>
    </xf>
    <xf numFmtId="0" fontId="31" fillId="12" borderId="3" xfId="2" applyFont="1" applyFill="1" applyBorder="1" applyAlignment="1">
      <alignment horizontal="center"/>
    </xf>
    <xf numFmtId="0" fontId="31" fillId="12" borderId="1" xfId="2" applyFont="1" applyFill="1" applyBorder="1" applyAlignment="1">
      <alignment horizontal="center"/>
    </xf>
    <xf numFmtId="0" fontId="32" fillId="11" borderId="1" xfId="0" applyFont="1" applyFill="1" applyBorder="1" applyAlignment="1">
      <alignment horizontal="right"/>
    </xf>
    <xf numFmtId="10" fontId="34" fillId="11" borderId="1" xfId="1" applyNumberFormat="1" applyFont="1" applyFill="1" applyBorder="1" applyAlignment="1">
      <alignment horizontal="center"/>
    </xf>
    <xf numFmtId="0" fontId="29" fillId="11" borderId="1" xfId="0" applyFont="1" applyFill="1" applyBorder="1"/>
    <xf numFmtId="10" fontId="34" fillId="12" borderId="1" xfId="1" applyNumberFormat="1" applyFont="1" applyFill="1" applyBorder="1" applyAlignment="1">
      <alignment horizontal="center"/>
    </xf>
    <xf numFmtId="0" fontId="29" fillId="11" borderId="1" xfId="0" applyFont="1" applyFill="1" applyBorder="1" applyAlignment="1">
      <alignment horizontal="right"/>
    </xf>
    <xf numFmtId="0" fontId="33" fillId="12" borderId="1" xfId="0" applyFont="1" applyFill="1" applyBorder="1" applyAlignment="1">
      <alignment horizontal="center"/>
    </xf>
    <xf numFmtId="3" fontId="33" fillId="12" borderId="1" xfId="0" applyNumberFormat="1" applyFont="1" applyFill="1" applyBorder="1" applyAlignment="1">
      <alignment horizontal="center"/>
    </xf>
    <xf numFmtId="3" fontId="30" fillId="0" borderId="1" xfId="0" applyNumberFormat="1" applyFont="1" applyBorder="1" applyAlignment="1">
      <alignment horizontal="center"/>
    </xf>
    <xf numFmtId="3" fontId="31" fillId="0" borderId="1" xfId="2" applyNumberFormat="1" applyFont="1" applyBorder="1" applyAlignment="1">
      <alignment horizontal="center"/>
    </xf>
    <xf numFmtId="0" fontId="9" fillId="0" borderId="19" xfId="2" applyFill="1" applyBorder="1" applyAlignment="1">
      <alignment horizontal="right"/>
    </xf>
    <xf numFmtId="0" fontId="9" fillId="0" borderId="19" xfId="2" applyBorder="1"/>
    <xf numFmtId="0" fontId="2" fillId="2" borderId="20" xfId="0" applyFont="1" applyFill="1" applyBorder="1"/>
    <xf numFmtId="0" fontId="19" fillId="2" borderId="21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1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2" borderId="20" xfId="0" applyFont="1" applyFill="1" applyBorder="1"/>
    <xf numFmtId="0" fontId="9" fillId="2" borderId="22" xfId="2" applyFill="1" applyBorder="1" applyAlignment="1">
      <alignment horizontal="right"/>
    </xf>
    <xf numFmtId="0" fontId="9" fillId="2" borderId="23" xfId="2" applyFill="1" applyBorder="1" applyAlignment="1">
      <alignment horizontal="center"/>
    </xf>
    <xf numFmtId="0" fontId="9" fillId="2" borderId="24" xfId="2" applyFill="1" applyBorder="1" applyAlignment="1">
      <alignment horizontal="center"/>
    </xf>
    <xf numFmtId="0" fontId="36" fillId="5" borderId="10" xfId="0" applyFont="1" applyFill="1" applyBorder="1" applyAlignment="1">
      <alignment horizontal="right"/>
    </xf>
    <xf numFmtId="0" fontId="36" fillId="5" borderId="5" xfId="0" applyFont="1" applyFill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37" fillId="5" borderId="11" xfId="0" applyFont="1" applyFill="1" applyBorder="1" applyAlignment="1">
      <alignment horizontal="center"/>
    </xf>
    <xf numFmtId="0" fontId="36" fillId="5" borderId="12" xfId="0" applyFont="1" applyFill="1" applyBorder="1" applyAlignment="1">
      <alignment horizontal="right"/>
    </xf>
    <xf numFmtId="0" fontId="36" fillId="5" borderId="1" xfId="0" applyFont="1" applyFill="1" applyBorder="1" applyAlignment="1">
      <alignment horizontal="center"/>
    </xf>
    <xf numFmtId="0" fontId="37" fillId="5" borderId="1" xfId="0" applyFont="1" applyFill="1" applyBorder="1" applyAlignment="1">
      <alignment horizontal="center"/>
    </xf>
    <xf numFmtId="0" fontId="37" fillId="5" borderId="14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center"/>
    </xf>
    <xf numFmtId="0" fontId="9" fillId="2" borderId="25" xfId="2" applyFill="1" applyBorder="1" applyAlignment="1">
      <alignment horizontal="center"/>
    </xf>
    <xf numFmtId="0" fontId="9" fillId="4" borderId="26" xfId="2" applyFill="1" applyBorder="1" applyAlignment="1">
      <alignment horizontal="center"/>
    </xf>
    <xf numFmtId="0" fontId="0" fillId="0" borderId="27" xfId="0" applyBorder="1"/>
    <xf numFmtId="0" fontId="2" fillId="2" borderId="3" xfId="0" applyFont="1" applyFill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9" fillId="2" borderId="8" xfId="2" applyFill="1" applyBorder="1" applyAlignment="1">
      <alignment horizontal="right"/>
    </xf>
    <xf numFmtId="0" fontId="1" fillId="13" borderId="10" xfId="0" applyFont="1" applyFill="1" applyBorder="1" applyAlignment="1">
      <alignment horizontal="right"/>
    </xf>
    <xf numFmtId="0" fontId="2" fillId="13" borderId="5" xfId="0" applyFont="1" applyFill="1" applyBorder="1" applyAlignment="1">
      <alignment horizontal="center"/>
    </xf>
    <xf numFmtId="0" fontId="2" fillId="13" borderId="11" xfId="0" applyFont="1" applyFill="1" applyBorder="1" applyAlignment="1">
      <alignment horizontal="center"/>
    </xf>
    <xf numFmtId="0" fontId="38" fillId="13" borderId="1" xfId="0" applyFont="1" applyFill="1" applyBorder="1" applyAlignment="1">
      <alignment horizontal="right"/>
    </xf>
    <xf numFmtId="0" fontId="24" fillId="13" borderId="1" xfId="0" applyFont="1" applyFill="1" applyBorder="1" applyAlignment="1">
      <alignment horizontal="center"/>
    </xf>
    <xf numFmtId="0" fontId="3" fillId="4" borderId="1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9" fillId="2" borderId="1" xfId="0" applyFont="1" applyFill="1" applyBorder="1" applyAlignment="1">
      <alignment horizontal="right"/>
    </xf>
    <xf numFmtId="0" fontId="9" fillId="0" borderId="6" xfId="2" applyBorder="1" applyAlignment="1">
      <alignment horizontal="center"/>
    </xf>
    <xf numFmtId="0" fontId="9" fillId="0" borderId="9" xfId="2" applyBorder="1" applyAlignment="1">
      <alignment horizontal="center"/>
    </xf>
    <xf numFmtId="0" fontId="1" fillId="4" borderId="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5" xfId="2" applyBorder="1" applyAlignment="1">
      <alignment horizontal="center"/>
    </xf>
    <xf numFmtId="0" fontId="2" fillId="14" borderId="5" xfId="0" applyFont="1" applyFill="1" applyBorder="1"/>
    <xf numFmtId="0" fontId="2" fillId="14" borderId="5" xfId="0" applyFont="1" applyFill="1" applyBorder="1" applyAlignment="1">
      <alignment horizontal="center"/>
    </xf>
    <xf numFmtId="0" fontId="3" fillId="0" borderId="1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" xfId="0" applyFont="1" applyBorder="1" applyAlignment="1">
      <alignment horizontal="center" vertical="center"/>
    </xf>
    <xf numFmtId="0" fontId="23" fillId="9" borderId="28" xfId="0" applyFont="1" applyFill="1" applyBorder="1" applyAlignment="1">
      <alignment horizontal="right" readingOrder="2"/>
    </xf>
    <xf numFmtId="0" fontId="24" fillId="8" borderId="29" xfId="0" applyFont="1" applyFill="1" applyBorder="1" applyAlignment="1">
      <alignment horizontal="center"/>
    </xf>
    <xf numFmtId="0" fontId="21" fillId="3" borderId="7" xfId="3" applyFont="1" applyFill="1" applyBorder="1" applyAlignment="1">
      <alignment horizontal="center"/>
    </xf>
    <xf numFmtId="0" fontId="21" fillId="5" borderId="0" xfId="3" applyFont="1" applyFill="1" applyBorder="1" applyAlignment="1">
      <alignment horizontal="center"/>
    </xf>
    <xf numFmtId="0" fontId="40" fillId="6" borderId="0" xfId="3" applyFont="1" applyFill="1" applyBorder="1" applyAlignment="1">
      <alignment horizontal="center"/>
    </xf>
    <xf numFmtId="0" fontId="21" fillId="8" borderId="30" xfId="3" applyFont="1" applyFill="1" applyBorder="1" applyAlignment="1">
      <alignment horizontal="center"/>
    </xf>
    <xf numFmtId="0" fontId="21" fillId="8" borderId="31" xfId="3" applyFont="1" applyFill="1" applyBorder="1" applyAlignment="1">
      <alignment horizontal="center"/>
    </xf>
    <xf numFmtId="0" fontId="21" fillId="8" borderId="32" xfId="3" applyFont="1" applyFill="1" applyBorder="1" applyAlignment="1">
      <alignment horizontal="center"/>
    </xf>
    <xf numFmtId="0" fontId="21" fillId="10" borderId="0" xfId="3" applyFont="1" applyFill="1" applyBorder="1" applyAlignment="1">
      <alignment horizontal="center"/>
    </xf>
    <xf numFmtId="0" fontId="26" fillId="2" borderId="5" xfId="3" applyFont="1" applyFill="1" applyBorder="1" applyAlignment="1">
      <alignment horizontal="center"/>
    </xf>
    <xf numFmtId="0" fontId="28" fillId="2" borderId="1" xfId="3" applyFont="1" applyFill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6" fillId="2" borderId="2" xfId="3" applyFont="1" applyFill="1" applyBorder="1" applyAlignment="1">
      <alignment horizontal="center"/>
    </xf>
    <xf numFmtId="0" fontId="26" fillId="2" borderId="3" xfId="3" applyFont="1" applyFill="1" applyBorder="1" applyAlignment="1">
      <alignment horizontal="center"/>
    </xf>
  </cellXfs>
  <cellStyles count="4">
    <cellStyle name="Normal" xfId="0" builtinId="0"/>
    <cellStyle name="Percent" xfId="1" builtinId="5"/>
    <cellStyle name="Title" xfId="3" builtinId="15"/>
    <cellStyle name="Total" xfId="2" builtinId="25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3"/>
        <color theme="3"/>
        <name val="Rockwell"/>
        <family val="1"/>
        <scheme val="none"/>
      </font>
      <fill>
        <patternFill patternType="solid">
          <fgColor indexed="64"/>
          <bgColor theme="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l Tarikh Regular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l Tarikh Regular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double">
          <color theme="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rgb="FF7030A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l Tarikh Regular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l Tarikh Regular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Hebrew"/>
        <charset val="177"/>
        <scheme val="none"/>
      </font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 Hebrew"/>
        <charset val="177"/>
        <scheme val="none"/>
      </font>
      <fill>
        <patternFill patternType="solid">
          <fgColor indexed="64"/>
          <bgColor rgb="FFFFD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Hebrew"/>
        <charset val="177"/>
        <scheme val="none"/>
      </font>
      <fill>
        <patternFill patternType="solid">
          <fgColor indexed="64"/>
          <bgColor theme="2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Aptos Narrow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Hebrew"/>
        <charset val="177"/>
        <scheme val="none"/>
      </font>
      <fill>
        <patternFill patternType="solid">
          <fgColor indexed="64"/>
          <bgColor theme="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B7942"/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Leining Completion % by Pasuk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Statistics!$D$3:$D$7</c:f>
              <c:strCache>
                <c:ptCount val="5"/>
                <c:pt idx="0">
                  <c:v>בראשית</c:v>
                </c:pt>
                <c:pt idx="1">
                  <c:v>שמות</c:v>
                </c:pt>
                <c:pt idx="2">
                  <c:v>ויקרא</c:v>
                </c:pt>
                <c:pt idx="3">
                  <c:v>במדבר</c:v>
                </c:pt>
                <c:pt idx="4">
                  <c:v>דברים</c:v>
                </c:pt>
              </c:strCache>
            </c:strRef>
          </c:cat>
          <c:val>
            <c:numRef>
              <c:f>Statistics!$E$3:$E$7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D-6048-884A-21ED1ABC97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28297264"/>
        <c:axId val="1728298976"/>
      </c:barChart>
      <c:catAx>
        <c:axId val="172829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98976"/>
        <c:crosses val="autoZero"/>
        <c:auto val="1"/>
        <c:lblAlgn val="ctr"/>
        <c:lblOffset val="100"/>
        <c:noMultiLvlLbl val="0"/>
      </c:catAx>
      <c:valAx>
        <c:axId val="1728298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9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Leining Completion % by Aliyah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Statistics!$D$11:$D$15</c:f>
              <c:strCache>
                <c:ptCount val="5"/>
                <c:pt idx="0">
                  <c:v>בראשית</c:v>
                </c:pt>
                <c:pt idx="1">
                  <c:v>שמות</c:v>
                </c:pt>
                <c:pt idx="2">
                  <c:v>ויקרא</c:v>
                </c:pt>
                <c:pt idx="3">
                  <c:v>במדבר</c:v>
                </c:pt>
                <c:pt idx="4">
                  <c:v>דברים</c:v>
                </c:pt>
              </c:strCache>
            </c:strRef>
          </c:cat>
          <c:val>
            <c:numRef>
              <c:f>Statistics!$E$11:$E$15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8-5D4C-A20D-CD735C2D6F7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0249968"/>
        <c:axId val="550251680"/>
      </c:barChart>
      <c:catAx>
        <c:axId val="55024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1680"/>
        <c:crosses val="autoZero"/>
        <c:auto val="1"/>
        <c:lblAlgn val="ctr"/>
        <c:lblOffset val="100"/>
        <c:noMultiLvlLbl val="0"/>
      </c:catAx>
      <c:valAx>
        <c:axId val="5502516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4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34955</xdr:colOff>
      <xdr:row>0</xdr:row>
      <xdr:rowOff>29126</xdr:rowOff>
    </xdr:from>
    <xdr:to>
      <xdr:col>10</xdr:col>
      <xdr:colOff>5826</xdr:colOff>
      <xdr:row>2</xdr:row>
      <xdr:rowOff>186421</xdr:rowOff>
    </xdr:to>
    <xdr:sp macro="" textlink="">
      <xdr:nvSpPr>
        <xdr:cNvPr id="157" name="Alternate Process 2">
          <a:extLst>
            <a:ext uri="{FF2B5EF4-FFF2-40B4-BE49-F238E27FC236}">
              <a16:creationId xmlns:a16="http://schemas.microsoft.com/office/drawing/2014/main" id="{35E0B142-E260-CAD8-F0CD-4E885FD92561}"/>
            </a:ext>
          </a:extLst>
        </xdr:cNvPr>
        <xdr:cNvSpPr/>
      </xdr:nvSpPr>
      <xdr:spPr>
        <a:xfrm>
          <a:off x="34955" y="29126"/>
          <a:ext cx="8901651" cy="565093"/>
        </a:xfrm>
        <a:prstGeom prst="flowChartAlternateProcess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 b="1" kern="1200"/>
            <a:t>DISCLAIMER: </a:t>
          </a:r>
          <a:r>
            <a:rPr lang="en-US" sz="1300" kern="1200"/>
            <a:t>To</a:t>
          </a:r>
          <a:r>
            <a:rPr lang="en-US" sz="1300" kern="1200" baseline="0"/>
            <a:t> avoid confusion, all of the following readings are assumed to fall on a weekday</a:t>
          </a:r>
          <a:r>
            <a:rPr lang="en-US" sz="1300" kern="1200"/>
            <a:t>. If leining something from this</a:t>
          </a:r>
          <a:r>
            <a:rPr lang="en-US" sz="1300" kern="1200" baseline="0"/>
            <a:t> list  </a:t>
          </a:r>
          <a:r>
            <a:rPr lang="en-US" sz="1300" kern="1200"/>
            <a:t>on shabbos, keep in mind the different starting/ending points, but the leining is still the same. :)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50799</xdr:colOff>
      <xdr:row>17</xdr:row>
      <xdr:rowOff>4233</xdr:rowOff>
    </xdr:from>
    <xdr:to>
      <xdr:col>3</xdr:col>
      <xdr:colOff>2269066</xdr:colOff>
      <xdr:row>33</xdr:row>
      <xdr:rowOff>160866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E0A1B37-94B3-7B2C-D5F8-0B97C2EFC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389467</xdr:colOff>
      <xdr:row>17</xdr:row>
      <xdr:rowOff>8467</xdr:rowOff>
    </xdr:from>
    <xdr:to>
      <xdr:col>9</xdr:col>
      <xdr:colOff>524933</xdr:colOff>
      <xdr:row>33</xdr:row>
      <xdr:rowOff>177799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27B2C9-2C64-7F91-9DA1-1E74D0BDA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80B26C-AFC5-3348-937E-D476C0FC4D10}" name="Table1" displayName="Table1" ref="A2:J15" headerRowDxfId="97" dataDxfId="95" headerRowBorderDxfId="96" tableBorderDxfId="94" totalsRowBorderDxfId="93">
  <autoFilter ref="A2:J15" xr:uid="{8C80B26C-AFC5-3348-937E-D476C0FC4D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BCF84D9B-924A-2648-983B-F96B75372C87}" name="Aliyot Learned" totalsRowLabel="Total" dataDxfId="92"/>
    <tableColumn id="2" xr3:uid="{1D382832-7DDF-4C4E-98A8-D5EC537C54BC}" name="Full Parsha" dataDxfId="91" totalsRowDxfId="90"/>
    <tableColumn id="3" xr3:uid="{A5761F72-93C7-444D-8801-0CEE705543AB}" name="ראשון" dataDxfId="89" totalsRowDxfId="88"/>
    <tableColumn id="4" xr3:uid="{D4930A62-AEEE-F149-BE75-6388420766C6}" name="שני" dataDxfId="87" totalsRowDxfId="86"/>
    <tableColumn id="5" xr3:uid="{84ABE4AE-0CDC-4A43-9716-D81B3F167F75}" name="שלישי" dataDxfId="85" totalsRowDxfId="84"/>
    <tableColumn id="6" xr3:uid="{9C8E0061-B56E-1242-874C-6763F3795F53}" name="רביעי" dataDxfId="83" totalsRowDxfId="82"/>
    <tableColumn id="7" xr3:uid="{97A8C9A2-8B51-3246-AB9E-37408C00F1AA}" name="חמישי" dataDxfId="81" totalsRowDxfId="80"/>
    <tableColumn id="8" xr3:uid="{CF6E8990-38FF-5243-94A2-C1792D8C2467}" name="שישי" dataDxfId="79" totalsRowDxfId="78"/>
    <tableColumn id="9" xr3:uid="{BA362536-EA0C-1B46-803B-18051126E24A}" name="שביעי" dataDxfId="77" totalsRowDxfId="76"/>
    <tableColumn id="10" xr3:uid="{746B83FB-32CD-624B-BF4C-DEF2AD43CC43}" name="הפטרה" totalsRowFunction="count" dataDxfId="75" totalsRowDxfId="74"/>
  </tableColumns>
  <tableStyleInfo name="TableStyleMedium1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F9C57F-7B23-E74B-A12B-53E8D390110A}" name="Table3" displayName="Table3" ref="A2:J15" totalsRowShown="0" headerRowDxfId="73" dataDxfId="71" headerRowBorderDxfId="72" tableBorderDxfId="70">
  <autoFilter ref="A2:J15" xr:uid="{D4F9C57F-7B23-E74B-A12B-53E8D390110A}"/>
  <tableColumns count="10">
    <tableColumn id="1" xr3:uid="{1F0241B4-E13F-B349-9B2D-1DFF3D281931}" name="Aliyot Learned" dataDxfId="69"/>
    <tableColumn id="2" xr3:uid="{A3214BC5-407D-1542-B8E1-EA936EF549CD}" name="Full Parsha" dataDxfId="68"/>
    <tableColumn id="3" xr3:uid="{BA300818-A873-C242-B11A-250A3E54EE69}" name="ראשון" dataDxfId="67"/>
    <tableColumn id="4" xr3:uid="{95E9AC5A-3167-4742-AEEC-4254FB5AD44E}" name="שני" dataDxfId="66"/>
    <tableColumn id="5" xr3:uid="{00B7AAE3-3D60-EB40-99E6-CD1E9DE13B48}" name="שלישי" dataDxfId="65"/>
    <tableColumn id="6" xr3:uid="{4DB2CD71-32FE-4643-B323-DC361E28B35D}" name="רביעי" dataDxfId="64"/>
    <tableColumn id="7" xr3:uid="{9795C024-85FF-4445-99D0-B49BC8498FD7}" name="חמישי" dataDxfId="63"/>
    <tableColumn id="8" xr3:uid="{0A01F899-C16B-EE41-9EC9-4299CF215C2C}" name="שישי" dataDxfId="62"/>
    <tableColumn id="9" xr3:uid="{1C148CF8-5242-A04C-A359-7CB46ACC89BC}" name="שביעי" dataDxfId="61"/>
    <tableColumn id="10" xr3:uid="{9FA1370D-F4C1-7D40-B862-3BE76D714578}" name="הפטרה" dataDxfId="6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41F438-8A56-A94C-834B-A0B4CCAE09EE}" name="Table2" displayName="Table2" ref="A2:J16" totalsRowShown="0" headerRowDxfId="59" dataDxfId="57" headerRowBorderDxfId="58" tableBorderDxfId="56" totalsRowBorderDxfId="55">
  <autoFilter ref="A2:J16" xr:uid="{E641F438-8A56-A94C-834B-A0B4CCAE09EE}"/>
  <tableColumns count="10">
    <tableColumn id="1" xr3:uid="{F0DF8394-0567-5D41-A93A-72D94B66C061}" name="Aliyot Learned" dataDxfId="54"/>
    <tableColumn id="2" xr3:uid="{018B9932-9B2B-F34A-B868-23EEF779638A}" name="Full Parsha" dataDxfId="53"/>
    <tableColumn id="3" xr3:uid="{E75C32C0-329F-5C41-B339-C4D608A7D06F}" name="ראשון" dataDxfId="52"/>
    <tableColumn id="4" xr3:uid="{97AAAB5B-6DBE-2642-8A45-11D4C1F6DBBC}" name="שני" dataDxfId="51"/>
    <tableColumn id="5" xr3:uid="{EB141DCD-8318-6D46-8149-11F61E13CEE1}" name="שלישי" dataDxfId="50"/>
    <tableColumn id="6" xr3:uid="{8445DFDB-9B44-8A40-85A7-613887EFC343}" name="רביעי" dataDxfId="49"/>
    <tableColumn id="7" xr3:uid="{3ABEA042-5BB3-6B40-8806-C00FC4E4A37B}" name="חמישי" dataDxfId="48"/>
    <tableColumn id="8" xr3:uid="{145F7D65-F885-AA47-8E3A-850944119FF0}" name="שישי" dataDxfId="47"/>
    <tableColumn id="9" xr3:uid="{BD9238B8-F43F-7246-97C4-ED94675993B2}" name="שביעי" dataDxfId="46"/>
    <tableColumn id="10" xr3:uid="{E2156126-1564-3940-9179-40D1959C57D5}" name="הפטרה" dataDxfId="4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FF9217-204B-B545-8571-1DCE6FE1C9B3}" name="Table4" displayName="Table4" ref="A2:J15" totalsRowShown="0" headerRowDxfId="44" dataDxfId="42" headerRowBorderDxfId="43" tableBorderDxfId="41" totalsRowBorderDxfId="40">
  <autoFilter ref="A2:J15" xr:uid="{88FF9217-204B-B545-8571-1DCE6FE1C9B3}"/>
  <tableColumns count="10">
    <tableColumn id="1" xr3:uid="{6868552D-5CD6-0C40-8B9E-62BBEF76BB9B}" name="Aliyot Learned" dataDxfId="39"/>
    <tableColumn id="2" xr3:uid="{E8C39389-0052-5A43-B6AD-A93EBEBE2145}" name="Full Parsha" dataDxfId="38"/>
    <tableColumn id="3" xr3:uid="{77C646CE-F1C1-1144-A9FC-CA2048526514}" name="ראשון" dataDxfId="37"/>
    <tableColumn id="4" xr3:uid="{7529FFBA-7450-EB4F-9599-F3F00911E99F}" name="שני" dataDxfId="36"/>
    <tableColumn id="5" xr3:uid="{7C47B28C-B6D9-AF4A-BA6E-568AAF5E171C}" name="שלישי" dataDxfId="35"/>
    <tableColumn id="6" xr3:uid="{D7A873FB-8F2B-144A-99BD-06A90D6FB3AC}" name="רביעי" dataDxfId="34"/>
    <tableColumn id="7" xr3:uid="{81B66A53-4097-5542-A670-A5AD3B4F742C}" name="חמישי" dataDxfId="33"/>
    <tableColumn id="8" xr3:uid="{2FA389C6-DEC4-3043-9CDA-152A3C337A5D}" name="שישי" dataDxfId="32"/>
    <tableColumn id="9" xr3:uid="{77E8DE3F-6051-5B49-8C0F-4A8C70D8A1D5}" name="שביעי" dataDxfId="31"/>
    <tableColumn id="10" xr3:uid="{778B7EB3-587E-6E48-ADAE-805B38E0FE1C}" name="הפטרה" dataDxfId="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5BCF41-5714-624A-9B09-DD418849CA1D}" name="Table7" displayName="Table7" ref="A4:J28" totalsRowShown="0" headerRowDxfId="29" headerRowBorderDxfId="28" tableBorderDxfId="27" totalsRowBorderDxfId="26">
  <autoFilter ref="A4:J28" xr:uid="{F35BCF41-5714-624A-9B09-DD418849CA1D}"/>
  <tableColumns count="10">
    <tableColumn id="1" xr3:uid="{B258CF93-D41C-2F44-BD75-E298A48A73EC}" name="Additional Readings" dataDxfId="25"/>
    <tableColumn id="2" xr3:uid="{90CC8CE6-7632-224F-9587-FAA9282239A8}" name="ראשון" dataDxfId="24"/>
    <tableColumn id="3" xr3:uid="{6943C6D7-7FD2-1840-ADBF-F7D8D74E2AF5}" name="שני" dataDxfId="23"/>
    <tableColumn id="4" xr3:uid="{719BDF89-D0A7-9A4D-94EC-7FCEB900C540}" name="שלישי" dataDxfId="22"/>
    <tableColumn id="5" xr3:uid="{3D810F31-91D7-F84F-8271-3BCCBB5B62E6}" name="רביעי" dataDxfId="21"/>
    <tableColumn id="6" xr3:uid="{5A9BA412-7AB6-D140-A738-029BD7BF48A7}" name="חמישי" dataDxfId="20"/>
    <tableColumn id="7" xr3:uid="{E312D342-A229-0949-8BEE-29F9E3F41655}" name="שישי" dataDxfId="19"/>
    <tableColumn id="8" xr3:uid="{5088B496-972A-D641-9234-F59027BBF71B}" name="שביעי" dataDxfId="18"/>
    <tableColumn id="9" xr3:uid="{5B69DDC3-842A-AD48-B4F6-6DF2BACBFAD5}" name="מפטיר" dataDxfId="17"/>
    <tableColumn id="10" xr3:uid="{7370A05E-72A6-CE49-86EA-B06974D0D230}" name="הפטרה" dataDxfId="16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90D48E-ABDD-2442-A48B-C66E2F881413}" name="Table8" displayName="Table8" ref="A1:M7" totalsRowShown="0" headerRowDxfId="15" headerRowBorderDxfId="14" tableBorderDxfId="13">
  <autoFilter ref="A1:M7" xr:uid="{7990D48E-ABDD-2442-A48B-C66E2F881413}"/>
  <tableColumns count="13">
    <tableColumn id="1" xr3:uid="{C9E7FAF8-7FB6-6741-AFEF-155C6E0D9A24}" name="חמש מגילות" dataDxfId="12"/>
    <tableColumn id="2" xr3:uid="{1845D26A-582E-6645-81C5-2889769E1176}" name="פרק א" dataDxfId="11"/>
    <tableColumn id="3" xr3:uid="{EAE2910F-AE78-5F48-BC63-67A36589880D}" name="פרק ב" dataDxfId="10"/>
    <tableColumn id="4" xr3:uid="{92A7BB53-1977-354A-AE23-0A15A6DBF30A}" name="פרק ג" dataDxfId="9"/>
    <tableColumn id="5" xr3:uid="{4989D122-EC88-7D49-B703-AB5FF92DBA48}" name="פרק ד" dataDxfId="8"/>
    <tableColumn id="6" xr3:uid="{E3A1F9D5-66AE-A941-A1DC-6A0FD221FC6C}" name="פרק ה"/>
    <tableColumn id="7" xr3:uid="{646F8696-FD17-F14A-8961-1F1526A36E75}" name="פרק ו"/>
    <tableColumn id="8" xr3:uid="{68461E12-CFAA-934B-AFA1-6E2B5ACB2F17}" name="פרק ז"/>
    <tableColumn id="9" xr3:uid="{85385BA2-B412-3A49-8F23-5D3E515AB98C}" name="פרק ח"/>
    <tableColumn id="10" xr3:uid="{F2FB97F0-FB9C-B24B-8212-628167458EDD}" name="פרק ט"/>
    <tableColumn id="11" xr3:uid="{4CB60F28-6C72-0849-825E-FA8564830B73}" name="פרק י"/>
    <tableColumn id="12" xr3:uid="{67ED6FD5-FA03-B945-B44A-2ADE5DF41EDE}" name="פרק יא" dataDxfId="7"/>
    <tableColumn id="13" xr3:uid="{BBAF5585-6E73-9E40-896D-979CF0134A18}" name="פרק יב" dataDxfId="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9017DD-26A1-484E-BE6A-A8A592AABDE1}" name="Table5" displayName="Table5" ref="G3:J9" totalsRowShown="0" headerRowDxfId="5" headerRowBorderDxfId="4">
  <tableColumns count="4">
    <tableColumn id="1" xr3:uid="{DB6A165D-4A2A-454D-B4B3-B8B626D4086A}" name="Sefer" dataDxfId="3"/>
    <tableColumn id="2" xr3:uid="{035B289B-E0E1-A541-85B2-D477F0843A08}" name="Parshiot" dataDxfId="2"/>
    <tableColumn id="3" xr3:uid="{12DC685A-AA27-024A-AE42-6C0F49053D83}" name="Pesukim" dataDxfId="1"/>
    <tableColumn id="4" xr3:uid="{4EAFEA66-DD83-F74E-BAEF-700E9ADB9DBF}" name="Aliyot" dataDxfId="0"/>
  </tableColumns>
  <tableStyleInfo name="TableStyleDark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DA891-6044-2B49-A789-D2BC396789EC}">
  <sheetPr codeName="Sheet1">
    <tabColor theme="5"/>
  </sheetPr>
  <dimension ref="A1:P113"/>
  <sheetViews>
    <sheetView topLeftCell="A9" zoomScale="150" workbookViewId="0">
      <selection activeCell="B3" sqref="B3"/>
    </sheetView>
  </sheetViews>
  <sheetFormatPr baseColWidth="10" defaultColWidth="10.83203125" defaultRowHeight="16"/>
  <cols>
    <col min="1" max="1" width="20.5" bestFit="1" customWidth="1"/>
    <col min="2" max="2" width="11" customWidth="1"/>
    <col min="11" max="11" width="7.33203125" customWidth="1"/>
    <col min="12" max="12" width="27.1640625" bestFit="1" customWidth="1"/>
    <col min="13" max="13" width="16.5" customWidth="1"/>
    <col min="14" max="14" width="10.6640625" customWidth="1"/>
    <col min="16" max="16" width="22.6640625" customWidth="1"/>
  </cols>
  <sheetData>
    <row r="1" spans="1:15" ht="24">
      <c r="A1" s="135" t="s">
        <v>75</v>
      </c>
      <c r="B1" s="135"/>
      <c r="C1" s="135"/>
      <c r="D1" s="135"/>
      <c r="E1" s="135"/>
      <c r="F1" s="135"/>
      <c r="G1" s="135"/>
      <c r="H1" s="135"/>
      <c r="I1" s="135"/>
      <c r="J1" s="135"/>
    </row>
    <row r="2" spans="1:15" ht="17">
      <c r="A2" s="67" t="s">
        <v>131</v>
      </c>
      <c r="B2" s="27" t="s">
        <v>120</v>
      </c>
      <c r="C2" s="28" t="s">
        <v>13</v>
      </c>
      <c r="D2" s="28" t="s">
        <v>14</v>
      </c>
      <c r="E2" s="28" t="s">
        <v>15</v>
      </c>
      <c r="F2" s="28" t="s">
        <v>16</v>
      </c>
      <c r="G2" s="28" t="s">
        <v>17</v>
      </c>
      <c r="H2" s="28" t="s">
        <v>18</v>
      </c>
      <c r="I2" s="28" t="s">
        <v>19</v>
      </c>
      <c r="J2" s="29" t="s">
        <v>20</v>
      </c>
    </row>
    <row r="3" spans="1:15" ht="17">
      <c r="A3" s="23" t="s">
        <v>0</v>
      </c>
      <c r="B3" s="18" t="b">
        <v>0</v>
      </c>
      <c r="C3" s="6" t="b">
        <v>0</v>
      </c>
      <c r="D3" s="6" t="b">
        <v>0</v>
      </c>
      <c r="E3" s="6" t="b">
        <v>0</v>
      </c>
      <c r="F3" s="6" t="b">
        <v>0</v>
      </c>
      <c r="G3" s="6" t="b">
        <v>0</v>
      </c>
      <c r="H3" s="6" t="b">
        <v>0</v>
      </c>
      <c r="I3" s="6" t="b">
        <v>0</v>
      </c>
      <c r="J3" s="25" t="b">
        <v>0</v>
      </c>
    </row>
    <row r="4" spans="1:15" ht="17">
      <c r="A4" s="23" t="s">
        <v>1</v>
      </c>
      <c r="B4" s="51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  <c r="I4" s="3" t="b">
        <v>0</v>
      </c>
      <c r="J4" s="4" t="b">
        <v>0</v>
      </c>
    </row>
    <row r="5" spans="1:15" ht="17">
      <c r="A5" s="23" t="s">
        <v>2</v>
      </c>
      <c r="B5" s="18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  <c r="I5" s="3" t="b">
        <v>0</v>
      </c>
      <c r="J5" s="4" t="b">
        <v>0</v>
      </c>
    </row>
    <row r="6" spans="1:15" ht="17">
      <c r="A6" s="23" t="s">
        <v>3</v>
      </c>
      <c r="B6" s="51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  <c r="J6" s="4" t="b">
        <v>0</v>
      </c>
    </row>
    <row r="7" spans="1:15" ht="17">
      <c r="A7" s="23" t="s">
        <v>4</v>
      </c>
      <c r="B7" s="18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  <c r="J7" s="4" t="b">
        <v>0</v>
      </c>
    </row>
    <row r="8" spans="1:15" ht="17">
      <c r="A8" s="23" t="s">
        <v>5</v>
      </c>
      <c r="B8" s="51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  <c r="J8" s="4" t="b">
        <v>0</v>
      </c>
    </row>
    <row r="9" spans="1:15" ht="17">
      <c r="A9" s="23" t="s">
        <v>6</v>
      </c>
      <c r="B9" s="18" t="b">
        <v>0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  <c r="J9" s="4" t="b">
        <v>0</v>
      </c>
      <c r="L9" s="12"/>
      <c r="M9" s="13"/>
    </row>
    <row r="10" spans="1:15" ht="17">
      <c r="A10" s="23" t="s">
        <v>7</v>
      </c>
      <c r="B10" s="51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  <c r="J10" s="4" t="b">
        <v>0</v>
      </c>
      <c r="L10" s="12"/>
      <c r="M10" s="13"/>
    </row>
    <row r="11" spans="1:15" ht="17">
      <c r="A11" s="23" t="s">
        <v>8</v>
      </c>
      <c r="B11" s="18" t="b">
        <v>0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  <c r="J11" s="4" t="b">
        <v>0</v>
      </c>
      <c r="L11" s="12"/>
      <c r="M11" s="13"/>
    </row>
    <row r="12" spans="1:15" ht="17">
      <c r="A12" s="23" t="s">
        <v>9</v>
      </c>
      <c r="B12" s="51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  <c r="J12" s="4" t="b">
        <v>0</v>
      </c>
      <c r="L12" s="12"/>
      <c r="M12" s="13"/>
    </row>
    <row r="13" spans="1:15" ht="17">
      <c r="A13" s="23" t="s">
        <v>10</v>
      </c>
      <c r="B13" s="18" t="b">
        <v>0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  <c r="J13" s="4" t="b">
        <v>0</v>
      </c>
      <c r="L13" s="12"/>
      <c r="M13" s="13"/>
    </row>
    <row r="14" spans="1:15" ht="17">
      <c r="A14" s="24" t="s">
        <v>11</v>
      </c>
      <c r="B14" s="71" t="b">
        <v>0</v>
      </c>
      <c r="C14" s="21" t="b">
        <v>0</v>
      </c>
      <c r="D14" s="21" t="b">
        <v>0</v>
      </c>
      <c r="E14" s="21" t="b">
        <v>0</v>
      </c>
      <c r="F14" s="21" t="b">
        <v>0</v>
      </c>
      <c r="G14" s="21" t="b">
        <v>0</v>
      </c>
      <c r="H14" s="21" t="b">
        <v>0</v>
      </c>
      <c r="I14" s="21" t="b">
        <v>0</v>
      </c>
      <c r="J14" s="26" t="b">
        <v>0</v>
      </c>
      <c r="L14" s="12"/>
      <c r="M14" s="13"/>
    </row>
    <row r="15" spans="1:15" ht="18" thickBot="1">
      <c r="A15" s="38" t="s">
        <v>130</v>
      </c>
      <c r="B15" s="58">
        <f>COUNTIF(B3:B14,Statistics!#REF!)</f>
        <v>0</v>
      </c>
      <c r="C15" s="69">
        <f>COUNTIF(C3:C14,TRUE)</f>
        <v>0</v>
      </c>
      <c r="D15" s="69">
        <f t="shared" ref="D15:J15" si="0">COUNTIF(D3:D14,TRUE)</f>
        <v>0</v>
      </c>
      <c r="E15" s="69">
        <f t="shared" si="0"/>
        <v>0</v>
      </c>
      <c r="F15" s="69">
        <f t="shared" si="0"/>
        <v>0</v>
      </c>
      <c r="G15" s="69">
        <f t="shared" si="0"/>
        <v>0</v>
      </c>
      <c r="H15" s="69">
        <f t="shared" si="0"/>
        <v>0</v>
      </c>
      <c r="I15" s="69">
        <f t="shared" si="0"/>
        <v>0</v>
      </c>
      <c r="J15" s="69">
        <f t="shared" si="0"/>
        <v>0</v>
      </c>
      <c r="L15" s="12"/>
      <c r="M15" s="13"/>
    </row>
    <row r="16" spans="1:15" ht="18" thickTop="1">
      <c r="N16" s="12"/>
      <c r="O16" s="13"/>
    </row>
    <row r="17" spans="1:15" ht="17">
      <c r="A17" s="30" t="s">
        <v>128</v>
      </c>
      <c r="B17" s="31" t="s">
        <v>120</v>
      </c>
      <c r="C17" s="32" t="s">
        <v>13</v>
      </c>
      <c r="D17" s="32" t="s">
        <v>14</v>
      </c>
      <c r="E17" s="32" t="s">
        <v>15</v>
      </c>
      <c r="F17" s="32" t="s">
        <v>16</v>
      </c>
      <c r="G17" s="32" t="s">
        <v>17</v>
      </c>
      <c r="H17" s="32" t="s">
        <v>18</v>
      </c>
      <c r="I17" s="32" t="s">
        <v>19</v>
      </c>
      <c r="J17" s="32" t="s">
        <v>20</v>
      </c>
      <c r="N17" s="12"/>
      <c r="O17" s="13"/>
    </row>
    <row r="18" spans="1:15" ht="17">
      <c r="A18" s="1" t="s">
        <v>0</v>
      </c>
      <c r="B18" s="39">
        <f>SUM(C18:I18)</f>
        <v>146</v>
      </c>
      <c r="C18" s="34">
        <v>34</v>
      </c>
      <c r="D18" s="34">
        <v>16</v>
      </c>
      <c r="E18" s="34">
        <v>27</v>
      </c>
      <c r="F18" s="34">
        <v>21</v>
      </c>
      <c r="G18" s="34">
        <v>4</v>
      </c>
      <c r="H18" s="34">
        <v>28</v>
      </c>
      <c r="I18" s="34">
        <v>16</v>
      </c>
      <c r="J18" s="34">
        <v>31</v>
      </c>
      <c r="N18" s="12"/>
      <c r="O18" s="13"/>
    </row>
    <row r="19" spans="1:15" ht="17">
      <c r="A19" s="1" t="s">
        <v>1</v>
      </c>
      <c r="B19" s="35">
        <f t="shared" ref="B19:B29" si="1">SUM(C19:I19)</f>
        <v>137</v>
      </c>
      <c r="C19" s="35">
        <v>16</v>
      </c>
      <c r="D19" s="35">
        <v>14</v>
      </c>
      <c r="E19" s="35">
        <v>22</v>
      </c>
      <c r="F19" s="35">
        <v>15</v>
      </c>
      <c r="G19" s="35">
        <v>10</v>
      </c>
      <c r="H19" s="35">
        <v>44</v>
      </c>
      <c r="I19" s="35">
        <v>16</v>
      </c>
      <c r="J19" s="35">
        <v>22</v>
      </c>
      <c r="N19" s="12"/>
      <c r="O19" s="13"/>
    </row>
    <row r="20" spans="1:15" ht="17">
      <c r="A20" s="1" t="s">
        <v>2</v>
      </c>
      <c r="B20" s="39">
        <f t="shared" si="1"/>
        <v>126</v>
      </c>
      <c r="C20" s="34">
        <v>13</v>
      </c>
      <c r="D20" s="34">
        <v>11</v>
      </c>
      <c r="E20" s="34">
        <v>14</v>
      </c>
      <c r="F20" s="34">
        <v>20</v>
      </c>
      <c r="G20" s="34">
        <v>10</v>
      </c>
      <c r="H20" s="34">
        <v>37</v>
      </c>
      <c r="I20" s="34">
        <v>21</v>
      </c>
      <c r="J20" s="34">
        <v>21</v>
      </c>
      <c r="N20" s="12"/>
      <c r="O20" s="13"/>
    </row>
    <row r="21" spans="1:15" ht="17">
      <c r="A21" s="1" t="s">
        <v>3</v>
      </c>
      <c r="B21" s="35">
        <f t="shared" si="1"/>
        <v>147</v>
      </c>
      <c r="C21" s="35">
        <v>14</v>
      </c>
      <c r="D21" s="35">
        <v>19</v>
      </c>
      <c r="E21" s="35">
        <v>20</v>
      </c>
      <c r="F21" s="35">
        <v>40</v>
      </c>
      <c r="G21" s="35">
        <v>17</v>
      </c>
      <c r="H21" s="35">
        <v>13</v>
      </c>
      <c r="I21" s="35">
        <v>24</v>
      </c>
      <c r="J21" s="35">
        <v>37</v>
      </c>
    </row>
    <row r="22" spans="1:15" ht="17">
      <c r="A22" s="1" t="s">
        <v>4</v>
      </c>
      <c r="B22" s="39">
        <f t="shared" si="1"/>
        <v>109</v>
      </c>
      <c r="C22" s="34">
        <v>16</v>
      </c>
      <c r="D22" s="34">
        <v>13</v>
      </c>
      <c r="E22" s="34">
        <v>17</v>
      </c>
      <c r="F22" s="34">
        <v>26</v>
      </c>
      <c r="G22" s="34">
        <v>17</v>
      </c>
      <c r="H22" s="34">
        <v>13</v>
      </c>
      <c r="I22" s="34">
        <v>7</v>
      </c>
      <c r="J22" s="34">
        <v>31</v>
      </c>
    </row>
    <row r="23" spans="1:15" ht="17">
      <c r="A23" s="1" t="s">
        <v>5</v>
      </c>
      <c r="B23" s="35">
        <f t="shared" si="1"/>
        <v>106</v>
      </c>
      <c r="C23" s="35">
        <v>21</v>
      </c>
      <c r="D23" s="35">
        <v>7</v>
      </c>
      <c r="E23" s="35">
        <v>10</v>
      </c>
      <c r="F23" s="35">
        <v>7</v>
      </c>
      <c r="G23" s="35">
        <v>33</v>
      </c>
      <c r="H23" s="35">
        <v>23</v>
      </c>
      <c r="I23" s="35">
        <v>5</v>
      </c>
      <c r="J23" s="35">
        <v>21</v>
      </c>
    </row>
    <row r="24" spans="1:15" ht="17">
      <c r="A24" s="1" t="s">
        <v>6</v>
      </c>
      <c r="B24" s="39">
        <f t="shared" si="1"/>
        <v>148</v>
      </c>
      <c r="C24" s="34">
        <v>13</v>
      </c>
      <c r="D24" s="34">
        <v>17</v>
      </c>
      <c r="E24" s="34">
        <v>31</v>
      </c>
      <c r="F24" s="34">
        <v>14</v>
      </c>
      <c r="G24" s="34">
        <v>32</v>
      </c>
      <c r="H24" s="34">
        <v>26</v>
      </c>
      <c r="I24" s="34">
        <v>15</v>
      </c>
      <c r="J24" s="34">
        <v>28</v>
      </c>
    </row>
    <row r="25" spans="1:15" ht="17">
      <c r="A25" s="1" t="s">
        <v>7</v>
      </c>
      <c r="B25" s="35">
        <f t="shared" si="1"/>
        <v>153</v>
      </c>
      <c r="C25" s="35">
        <v>10</v>
      </c>
      <c r="D25" s="35">
        <v>17</v>
      </c>
      <c r="E25" s="35">
        <v>8</v>
      </c>
      <c r="F25" s="35">
        <v>15</v>
      </c>
      <c r="G25" s="35">
        <v>42</v>
      </c>
      <c r="H25" s="35">
        <v>37</v>
      </c>
      <c r="I25" s="35">
        <v>24</v>
      </c>
      <c r="J25" s="35">
        <v>21</v>
      </c>
    </row>
    <row r="26" spans="1:15" ht="17">
      <c r="A26" s="1" t="s">
        <v>8</v>
      </c>
      <c r="B26" s="39">
        <f t="shared" si="1"/>
        <v>112</v>
      </c>
      <c r="C26" s="34">
        <v>11</v>
      </c>
      <c r="D26" s="34">
        <v>11</v>
      </c>
      <c r="E26" s="34">
        <v>14</v>
      </c>
      <c r="F26" s="34">
        <v>30</v>
      </c>
      <c r="G26" s="34">
        <v>6</v>
      </c>
      <c r="H26" s="34">
        <v>17</v>
      </c>
      <c r="I26" s="34">
        <v>23</v>
      </c>
      <c r="J26" s="34">
        <v>19</v>
      </c>
    </row>
    <row r="27" spans="1:15" ht="17">
      <c r="A27" s="1" t="s">
        <v>9</v>
      </c>
      <c r="B27" s="35">
        <f t="shared" si="1"/>
        <v>146</v>
      </c>
      <c r="C27" s="35">
        <v>14</v>
      </c>
      <c r="D27" s="35">
        <v>24</v>
      </c>
      <c r="E27" s="35">
        <v>14</v>
      </c>
      <c r="F27" s="35">
        <v>23</v>
      </c>
      <c r="G27" s="35">
        <v>35</v>
      </c>
      <c r="H27" s="35">
        <v>14</v>
      </c>
      <c r="I27" s="35">
        <v>22</v>
      </c>
      <c r="J27" s="35">
        <v>15</v>
      </c>
    </row>
    <row r="28" spans="1:15" ht="17">
      <c r="A28" s="1" t="s">
        <v>10</v>
      </c>
      <c r="B28" s="39">
        <f t="shared" si="1"/>
        <v>106</v>
      </c>
      <c r="C28" s="34">
        <v>13</v>
      </c>
      <c r="D28" s="34">
        <v>11</v>
      </c>
      <c r="E28" s="34">
        <v>11</v>
      </c>
      <c r="F28" s="34">
        <v>9</v>
      </c>
      <c r="G28" s="34">
        <v>28</v>
      </c>
      <c r="H28" s="34">
        <v>17</v>
      </c>
      <c r="I28" s="34">
        <v>17</v>
      </c>
      <c r="J28" s="34">
        <v>14</v>
      </c>
    </row>
    <row r="29" spans="1:15" ht="17">
      <c r="A29" s="33" t="s">
        <v>11</v>
      </c>
      <c r="B29" s="35">
        <f t="shared" si="1"/>
        <v>85</v>
      </c>
      <c r="C29" s="36">
        <v>13</v>
      </c>
      <c r="D29" s="36">
        <v>7</v>
      </c>
      <c r="E29" s="36">
        <v>6</v>
      </c>
      <c r="F29" s="36">
        <v>18</v>
      </c>
      <c r="G29" s="36">
        <v>8</v>
      </c>
      <c r="H29" s="36">
        <v>27</v>
      </c>
      <c r="I29" s="36">
        <v>6</v>
      </c>
      <c r="J29" s="36">
        <v>12</v>
      </c>
    </row>
    <row r="30" spans="1:15" ht="17" thickBot="1">
      <c r="A30" s="16" t="s">
        <v>129</v>
      </c>
      <c r="B30" s="58"/>
      <c r="C30" s="59">
        <f>SUMIF(C3:C14,TRUE, C18:C29)</f>
        <v>0</v>
      </c>
      <c r="D30" s="59">
        <f>SUMIF(D3:D14,TRUE, D18:D29)</f>
        <v>0</v>
      </c>
      <c r="E30" s="59">
        <f t="shared" ref="E30:I30" si="2">SUMIF(E3:E14,TRUE, E18:E29)</f>
        <v>0</v>
      </c>
      <c r="F30" s="59">
        <f t="shared" si="2"/>
        <v>0</v>
      </c>
      <c r="G30" s="59">
        <f t="shared" si="2"/>
        <v>0</v>
      </c>
      <c r="H30" s="59">
        <f t="shared" si="2"/>
        <v>0</v>
      </c>
      <c r="I30" s="59">
        <f t="shared" si="2"/>
        <v>0</v>
      </c>
      <c r="J30" s="59">
        <f>SUMIF(J3:J14,TRUE, J18:J29)</f>
        <v>0</v>
      </c>
    </row>
    <row r="31" spans="1:15" ht="17" thickTop="1"/>
    <row r="38" spans="14:16">
      <c r="N38" s="9"/>
      <c r="O38" s="9"/>
      <c r="P38" s="10"/>
    </row>
    <row r="39" spans="14:16">
      <c r="N39" s="9"/>
      <c r="O39" s="9"/>
      <c r="P39" s="11"/>
    </row>
    <row r="40" spans="14:16">
      <c r="N40" s="9"/>
      <c r="O40" s="9"/>
    </row>
    <row r="41" spans="14:16">
      <c r="N41" s="9"/>
      <c r="O41" s="9"/>
    </row>
    <row r="42" spans="14:16">
      <c r="N42" s="9"/>
      <c r="O42" s="9"/>
    </row>
    <row r="43" spans="14:16">
      <c r="N43" s="9"/>
      <c r="O43" s="9"/>
    </row>
    <row r="44" spans="14:16">
      <c r="N44" s="9"/>
      <c r="O44" s="9"/>
    </row>
    <row r="45" spans="14:16">
      <c r="N45" s="9"/>
      <c r="O45" s="9"/>
    </row>
    <row r="46" spans="14:16">
      <c r="N46" s="9"/>
      <c r="O46" s="9"/>
    </row>
    <row r="47" spans="14:16">
      <c r="N47" s="9"/>
      <c r="O47" s="9"/>
    </row>
    <row r="48" spans="14:16">
      <c r="N48" s="9"/>
      <c r="O48" s="9"/>
    </row>
    <row r="49" spans="14:15">
      <c r="N49" s="9"/>
      <c r="O49" s="9"/>
    </row>
    <row r="113" spans="12:12" ht="18">
      <c r="L113" s="14"/>
    </row>
  </sheetData>
  <mergeCells count="1">
    <mergeCell ref="A1:J1"/>
  </mergeCells>
  <phoneticPr fontId="7" type="noConversion"/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322B-2DB0-9E40-9431-D2A87DA05F89}">
  <sheetPr>
    <tabColor rgb="FFFFD579"/>
  </sheetPr>
  <dimension ref="A1:J31"/>
  <sheetViews>
    <sheetView zoomScale="150" zoomScaleNormal="150" workbookViewId="0">
      <selection activeCell="B3" sqref="B3:I14"/>
    </sheetView>
  </sheetViews>
  <sheetFormatPr baseColWidth="10" defaultRowHeight="16"/>
  <cols>
    <col min="1" max="1" width="20.33203125" customWidth="1"/>
    <col min="2" max="2" width="12.1640625" customWidth="1"/>
    <col min="3" max="3" width="10.83203125" style="114"/>
    <col min="11" max="11" width="4.83203125" customWidth="1"/>
  </cols>
  <sheetData>
    <row r="1" spans="1:10" ht="24">
      <c r="A1" s="136" t="s">
        <v>76</v>
      </c>
      <c r="B1" s="136"/>
      <c r="C1" s="136"/>
      <c r="D1" s="136"/>
      <c r="E1" s="136"/>
      <c r="F1" s="136"/>
      <c r="G1" s="136"/>
      <c r="H1" s="136"/>
      <c r="I1" s="136"/>
      <c r="J1" s="136"/>
    </row>
    <row r="2" spans="1:10" ht="17">
      <c r="A2" s="102" t="s">
        <v>131</v>
      </c>
      <c r="B2" s="103" t="s">
        <v>120</v>
      </c>
      <c r="C2" s="104" t="s">
        <v>13</v>
      </c>
      <c r="D2" s="104" t="s">
        <v>14</v>
      </c>
      <c r="E2" s="104" t="s">
        <v>15</v>
      </c>
      <c r="F2" s="104" t="s">
        <v>16</v>
      </c>
      <c r="G2" s="104" t="s">
        <v>17</v>
      </c>
      <c r="H2" s="104" t="s">
        <v>18</v>
      </c>
      <c r="I2" s="104" t="s">
        <v>19</v>
      </c>
      <c r="J2" s="105" t="s">
        <v>20</v>
      </c>
    </row>
    <row r="3" spans="1:10" ht="17">
      <c r="A3" s="23" t="s">
        <v>21</v>
      </c>
      <c r="B3" s="18" t="b">
        <v>0</v>
      </c>
      <c r="C3" s="6" t="b">
        <v>0</v>
      </c>
      <c r="D3" s="6" t="b">
        <v>0</v>
      </c>
      <c r="E3" s="6" t="b">
        <v>0</v>
      </c>
      <c r="F3" s="6" t="b">
        <v>0</v>
      </c>
      <c r="G3" s="6" t="b">
        <v>0</v>
      </c>
      <c r="H3" s="6" t="b">
        <v>0</v>
      </c>
      <c r="I3" s="6" t="b">
        <v>0</v>
      </c>
      <c r="J3" s="25" t="b">
        <v>0</v>
      </c>
    </row>
    <row r="4" spans="1:10" ht="17">
      <c r="A4" s="23" t="s">
        <v>32</v>
      </c>
      <c r="B4" s="51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  <c r="I4" s="3" t="b">
        <v>0</v>
      </c>
      <c r="J4" s="4" t="b">
        <v>0</v>
      </c>
    </row>
    <row r="5" spans="1:10" ht="17">
      <c r="A5" s="23" t="s">
        <v>22</v>
      </c>
      <c r="B5" s="18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  <c r="I5" s="3" t="b">
        <v>0</v>
      </c>
      <c r="J5" s="4" t="b">
        <v>0</v>
      </c>
    </row>
    <row r="6" spans="1:10" ht="17">
      <c r="A6" s="23" t="s">
        <v>23</v>
      </c>
      <c r="B6" s="51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  <c r="J6" s="4" t="b">
        <v>0</v>
      </c>
    </row>
    <row r="7" spans="1:10" ht="17">
      <c r="A7" s="23" t="s">
        <v>24</v>
      </c>
      <c r="B7" s="18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  <c r="J7" s="4" t="b">
        <v>0</v>
      </c>
    </row>
    <row r="8" spans="1:10" ht="17">
      <c r="A8" s="23" t="s">
        <v>25</v>
      </c>
      <c r="B8" s="51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  <c r="J8" s="4" t="b">
        <v>0</v>
      </c>
    </row>
    <row r="9" spans="1:10" ht="17">
      <c r="A9" s="23" t="s">
        <v>26</v>
      </c>
      <c r="B9" s="18" t="b">
        <v>0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  <c r="J9" s="4" t="b">
        <v>0</v>
      </c>
    </row>
    <row r="10" spans="1:10" ht="17">
      <c r="A10" s="23" t="s">
        <v>27</v>
      </c>
      <c r="B10" s="51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  <c r="J10" s="4" t="b">
        <v>0</v>
      </c>
    </row>
    <row r="11" spans="1:10" ht="17">
      <c r="A11" s="23" t="s">
        <v>28</v>
      </c>
      <c r="B11" s="18" t="b">
        <v>0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  <c r="J11" s="4" t="b">
        <v>0</v>
      </c>
    </row>
    <row r="12" spans="1:10" ht="17">
      <c r="A12" s="23" t="s">
        <v>29</v>
      </c>
      <c r="B12" s="51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  <c r="J12" s="4" t="b">
        <v>0</v>
      </c>
    </row>
    <row r="13" spans="1:10" ht="17">
      <c r="A13" s="23" t="s">
        <v>30</v>
      </c>
      <c r="B13" s="18" t="b">
        <v>0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  <c r="J13" s="4" t="b">
        <v>0</v>
      </c>
    </row>
    <row r="14" spans="1:10" ht="17">
      <c r="A14" s="24" t="s">
        <v>31</v>
      </c>
      <c r="B14" s="70" t="b">
        <v>0</v>
      </c>
      <c r="C14" s="21" t="b">
        <v>0</v>
      </c>
      <c r="D14" s="21" t="b">
        <v>0</v>
      </c>
      <c r="E14" s="21" t="b">
        <v>0</v>
      </c>
      <c r="F14" s="21" t="b">
        <v>0</v>
      </c>
      <c r="G14" s="21" t="b">
        <v>0</v>
      </c>
      <c r="H14" s="21" t="b">
        <v>0</v>
      </c>
      <c r="I14" s="21" t="b">
        <v>0</v>
      </c>
      <c r="J14" s="26" t="b">
        <v>0</v>
      </c>
    </row>
    <row r="15" spans="1:10">
      <c r="A15" s="38" t="s">
        <v>130</v>
      </c>
      <c r="B15" s="72">
        <f>COUNTIF(B3:B14,TRUE)</f>
        <v>0</v>
      </c>
      <c r="C15" s="112">
        <f t="shared" ref="C15:J15" si="0">COUNTIF(C3:C14,TRUE)</f>
        <v>0</v>
      </c>
      <c r="D15" s="72">
        <f t="shared" si="0"/>
        <v>0</v>
      </c>
      <c r="E15" s="72">
        <f t="shared" si="0"/>
        <v>0</v>
      </c>
      <c r="F15" s="72">
        <f t="shared" si="0"/>
        <v>0</v>
      </c>
      <c r="G15" s="72">
        <f t="shared" si="0"/>
        <v>0</v>
      </c>
      <c r="H15" s="72">
        <f t="shared" si="0"/>
        <v>0</v>
      </c>
      <c r="I15" s="72">
        <f t="shared" si="0"/>
        <v>0</v>
      </c>
      <c r="J15" s="72">
        <f t="shared" si="0"/>
        <v>0</v>
      </c>
    </row>
    <row r="17" spans="1:10" ht="17">
      <c r="A17" s="106" t="s">
        <v>128</v>
      </c>
      <c r="B17" s="107" t="s">
        <v>120</v>
      </c>
      <c r="C17" s="108" t="s">
        <v>13</v>
      </c>
      <c r="D17" s="108" t="s">
        <v>14</v>
      </c>
      <c r="E17" s="108" t="s">
        <v>15</v>
      </c>
      <c r="F17" s="108" t="s">
        <v>16</v>
      </c>
      <c r="G17" s="108" t="s">
        <v>17</v>
      </c>
      <c r="H17" s="108" t="s">
        <v>18</v>
      </c>
      <c r="I17" s="108" t="s">
        <v>19</v>
      </c>
      <c r="J17" s="109" t="s">
        <v>20</v>
      </c>
    </row>
    <row r="18" spans="1:10" ht="17">
      <c r="A18" s="1" t="s">
        <v>21</v>
      </c>
      <c r="B18" s="39">
        <f>SUM(C18:I18)</f>
        <v>124</v>
      </c>
      <c r="C18" s="34">
        <v>17</v>
      </c>
      <c r="D18" s="34">
        <v>15</v>
      </c>
      <c r="E18" s="34">
        <v>15</v>
      </c>
      <c r="F18" s="34">
        <v>15</v>
      </c>
      <c r="G18" s="34">
        <v>24</v>
      </c>
      <c r="H18" s="34">
        <v>14</v>
      </c>
      <c r="I18" s="34">
        <v>24</v>
      </c>
      <c r="J18" s="34">
        <v>23</v>
      </c>
    </row>
    <row r="19" spans="1:10" ht="17">
      <c r="A19" s="1" t="s">
        <v>32</v>
      </c>
      <c r="B19" s="35">
        <f t="shared" ref="B19:B29" si="1">SUM(C19:I19)</f>
        <v>131</v>
      </c>
      <c r="C19" s="35">
        <v>12</v>
      </c>
      <c r="D19" s="35">
        <v>15</v>
      </c>
      <c r="E19" s="35">
        <v>9</v>
      </c>
      <c r="F19" s="35">
        <v>28</v>
      </c>
      <c r="G19" s="35">
        <v>12</v>
      </c>
      <c r="H19" s="35">
        <v>26</v>
      </c>
      <c r="I19" s="35">
        <v>29</v>
      </c>
      <c r="J19" s="35">
        <v>23</v>
      </c>
    </row>
    <row r="20" spans="1:10" ht="17">
      <c r="A20" s="1" t="s">
        <v>22</v>
      </c>
      <c r="B20" s="39">
        <f t="shared" si="1"/>
        <v>106</v>
      </c>
      <c r="C20" s="34">
        <v>11</v>
      </c>
      <c r="D20" s="34">
        <v>12</v>
      </c>
      <c r="E20" s="34">
        <v>9</v>
      </c>
      <c r="F20" s="34">
        <v>27</v>
      </c>
      <c r="G20" s="34">
        <v>8</v>
      </c>
      <c r="H20" s="34">
        <v>23</v>
      </c>
      <c r="I20" s="34">
        <v>16</v>
      </c>
      <c r="J20" s="34">
        <v>16</v>
      </c>
    </row>
    <row r="21" spans="1:10" ht="17">
      <c r="A21" s="1" t="s">
        <v>23</v>
      </c>
      <c r="B21" s="35">
        <f t="shared" si="1"/>
        <v>116</v>
      </c>
      <c r="C21" s="35">
        <v>14</v>
      </c>
      <c r="D21" s="35">
        <v>6</v>
      </c>
      <c r="E21" s="35">
        <v>11</v>
      </c>
      <c r="F21" s="35">
        <v>32</v>
      </c>
      <c r="G21" s="35">
        <v>11</v>
      </c>
      <c r="H21" s="35">
        <v>26</v>
      </c>
      <c r="I21" s="35">
        <v>16</v>
      </c>
      <c r="J21" s="35">
        <v>52</v>
      </c>
    </row>
    <row r="22" spans="1:10" ht="17">
      <c r="A22" s="1" t="s">
        <v>24</v>
      </c>
      <c r="B22" s="39">
        <f t="shared" si="1"/>
        <v>75</v>
      </c>
      <c r="C22" s="34">
        <v>12</v>
      </c>
      <c r="D22" s="34">
        <v>11</v>
      </c>
      <c r="E22" s="34">
        <v>4</v>
      </c>
      <c r="F22" s="34">
        <v>6</v>
      </c>
      <c r="G22" s="34">
        <v>13</v>
      </c>
      <c r="H22" s="34">
        <v>20</v>
      </c>
      <c r="I22" s="34">
        <v>9</v>
      </c>
      <c r="J22" s="34">
        <v>21</v>
      </c>
    </row>
    <row r="23" spans="1:10" ht="17">
      <c r="A23" s="1" t="s">
        <v>25</v>
      </c>
      <c r="B23" s="35">
        <f t="shared" si="1"/>
        <v>118</v>
      </c>
      <c r="C23" s="35">
        <v>19</v>
      </c>
      <c r="D23" s="35">
        <v>21</v>
      </c>
      <c r="E23" s="35">
        <v>23</v>
      </c>
      <c r="F23" s="35">
        <v>9</v>
      </c>
      <c r="G23" s="35">
        <v>14</v>
      </c>
      <c r="H23" s="35">
        <v>6</v>
      </c>
      <c r="I23" s="35">
        <v>26</v>
      </c>
      <c r="J23" s="35">
        <v>17</v>
      </c>
    </row>
    <row r="24" spans="1:10" ht="17">
      <c r="A24" s="1" t="s">
        <v>26</v>
      </c>
      <c r="B24" s="39">
        <f t="shared" si="1"/>
        <v>96</v>
      </c>
      <c r="C24" s="34">
        <v>16</v>
      </c>
      <c r="D24" s="34">
        <v>14</v>
      </c>
      <c r="E24" s="34">
        <v>24</v>
      </c>
      <c r="F24" s="34">
        <v>16</v>
      </c>
      <c r="G24" s="34">
        <v>7</v>
      </c>
      <c r="H24" s="34">
        <v>8</v>
      </c>
      <c r="I24" s="34">
        <v>11</v>
      </c>
      <c r="J24" s="34">
        <v>20</v>
      </c>
    </row>
    <row r="25" spans="1:10" ht="17">
      <c r="A25" s="1" t="s">
        <v>27</v>
      </c>
      <c r="B25" s="35">
        <f t="shared" si="1"/>
        <v>101</v>
      </c>
      <c r="C25" s="35">
        <v>14</v>
      </c>
      <c r="D25" s="35">
        <v>18</v>
      </c>
      <c r="E25" s="35">
        <v>13</v>
      </c>
      <c r="F25" s="35">
        <v>18</v>
      </c>
      <c r="G25" s="35">
        <v>19</v>
      </c>
      <c r="H25" s="35">
        <v>9</v>
      </c>
      <c r="I25" s="35">
        <v>10</v>
      </c>
      <c r="J25" s="35">
        <v>18</v>
      </c>
    </row>
    <row r="26" spans="1:10" ht="17">
      <c r="A26" s="1" t="s">
        <v>28</v>
      </c>
      <c r="B26" s="39">
        <f t="shared" si="1"/>
        <v>139</v>
      </c>
      <c r="C26" s="34">
        <v>45</v>
      </c>
      <c r="D26" s="34">
        <v>47</v>
      </c>
      <c r="E26" s="34">
        <v>5</v>
      </c>
      <c r="F26" s="34">
        <v>7</v>
      </c>
      <c r="G26" s="34">
        <v>9</v>
      </c>
      <c r="H26" s="34">
        <v>17</v>
      </c>
      <c r="I26" s="34">
        <v>9</v>
      </c>
      <c r="J26" s="34">
        <v>39</v>
      </c>
    </row>
    <row r="27" spans="1:10" ht="17">
      <c r="A27" s="1" t="s">
        <v>29</v>
      </c>
      <c r="B27" s="35">
        <f t="shared" si="1"/>
        <v>122</v>
      </c>
      <c r="C27" s="35">
        <v>20</v>
      </c>
      <c r="D27" s="35">
        <v>9</v>
      </c>
      <c r="E27" s="35">
        <v>13</v>
      </c>
      <c r="F27" s="35">
        <v>12</v>
      </c>
      <c r="G27" s="35">
        <v>35</v>
      </c>
      <c r="H27" s="35">
        <v>13</v>
      </c>
      <c r="I27" s="35">
        <v>20</v>
      </c>
      <c r="J27" s="35">
        <v>11</v>
      </c>
    </row>
    <row r="28" spans="1:10" ht="17">
      <c r="A28" s="1" t="s">
        <v>30</v>
      </c>
      <c r="B28" s="39">
        <f t="shared" si="1"/>
        <v>92</v>
      </c>
      <c r="C28" s="34">
        <v>12</v>
      </c>
      <c r="D28" s="34">
        <v>20</v>
      </c>
      <c r="E28" s="34">
        <v>11</v>
      </c>
      <c r="F28" s="34">
        <v>11</v>
      </c>
      <c r="G28" s="34">
        <v>16</v>
      </c>
      <c r="H28" s="34">
        <v>11</v>
      </c>
      <c r="I28" s="34">
        <v>11</v>
      </c>
      <c r="J28" s="34">
        <v>22</v>
      </c>
    </row>
    <row r="29" spans="1:10" ht="17">
      <c r="A29" s="37" t="s">
        <v>31</v>
      </c>
      <c r="B29" s="35">
        <f t="shared" si="1"/>
        <v>214</v>
      </c>
      <c r="C29" s="36">
        <v>29</v>
      </c>
      <c r="D29" s="36">
        <v>60</v>
      </c>
      <c r="E29" s="36">
        <v>13</v>
      </c>
      <c r="F29" s="36">
        <v>32</v>
      </c>
      <c r="G29" s="36">
        <v>20</v>
      </c>
      <c r="H29" s="36">
        <v>22</v>
      </c>
      <c r="I29" s="36">
        <v>38</v>
      </c>
      <c r="J29" s="36">
        <v>22</v>
      </c>
    </row>
    <row r="30" spans="1:10" ht="17" thickBot="1">
      <c r="A30" s="16" t="s">
        <v>129</v>
      </c>
      <c r="B30" s="58"/>
      <c r="C30" s="113">
        <f>SUMIF(C3:C14,TRUE, C18:C29)</f>
        <v>0</v>
      </c>
      <c r="D30" s="113">
        <f t="shared" ref="D30:I30" si="2">SUMIF(D3:D14,TRUE, D18:D29)</f>
        <v>0</v>
      </c>
      <c r="E30" s="113">
        <f t="shared" si="2"/>
        <v>0</v>
      </c>
      <c r="F30" s="113">
        <f t="shared" si="2"/>
        <v>0</v>
      </c>
      <c r="G30" s="113">
        <f t="shared" si="2"/>
        <v>0</v>
      </c>
      <c r="H30" s="113">
        <f t="shared" si="2"/>
        <v>0</v>
      </c>
      <c r="I30" s="113">
        <f t="shared" si="2"/>
        <v>0</v>
      </c>
      <c r="J30" s="73">
        <v>0</v>
      </c>
    </row>
    <row r="31" spans="1:10" ht="17" thickTop="1"/>
  </sheetData>
  <mergeCells count="1">
    <mergeCell ref="A1:J1"/>
  </mergeCells>
  <phoneticPr fontId="7" type="noConversion"/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6CDD5-BF9D-AC41-BCDC-B000E4244E58}">
  <sheetPr>
    <tabColor theme="8"/>
  </sheetPr>
  <dimension ref="A1:J33"/>
  <sheetViews>
    <sheetView zoomScale="150" zoomScaleNormal="150" workbookViewId="0">
      <selection activeCell="B2" sqref="B1:B1048576"/>
    </sheetView>
  </sheetViews>
  <sheetFormatPr baseColWidth="10" defaultRowHeight="16"/>
  <cols>
    <col min="1" max="1" width="20.5" bestFit="1" customWidth="1"/>
    <col min="2" max="2" width="11.83203125" customWidth="1"/>
  </cols>
  <sheetData>
    <row r="1" spans="1:10" ht="24">
      <c r="A1" s="137" t="s">
        <v>77</v>
      </c>
      <c r="B1" s="137"/>
      <c r="C1" s="137"/>
      <c r="D1" s="137"/>
      <c r="E1" s="137"/>
      <c r="F1" s="137"/>
      <c r="G1" s="137"/>
      <c r="H1" s="137"/>
      <c r="I1" s="137"/>
      <c r="J1" s="137"/>
    </row>
    <row r="2" spans="1:10" ht="17">
      <c r="A2" s="49" t="s">
        <v>131</v>
      </c>
      <c r="B2" s="46" t="s">
        <v>120</v>
      </c>
      <c r="C2" s="47" t="s">
        <v>13</v>
      </c>
      <c r="D2" s="47" t="s">
        <v>14</v>
      </c>
      <c r="E2" s="47" t="s">
        <v>15</v>
      </c>
      <c r="F2" s="47" t="s">
        <v>16</v>
      </c>
      <c r="G2" s="47" t="s">
        <v>17</v>
      </c>
      <c r="H2" s="47" t="s">
        <v>18</v>
      </c>
      <c r="I2" s="47" t="s">
        <v>19</v>
      </c>
      <c r="J2" s="48" t="s">
        <v>20</v>
      </c>
    </row>
    <row r="3" spans="1:10" ht="17">
      <c r="A3" s="23" t="s">
        <v>33</v>
      </c>
      <c r="B3" s="18" t="b">
        <v>0</v>
      </c>
      <c r="C3" s="3" t="b">
        <v>0</v>
      </c>
      <c r="D3" s="3" t="b">
        <v>0</v>
      </c>
      <c r="E3" s="3" t="b">
        <v>0</v>
      </c>
      <c r="F3" s="3" t="b">
        <v>0</v>
      </c>
      <c r="G3" s="3" t="b">
        <v>0</v>
      </c>
      <c r="H3" s="3" t="b">
        <v>0</v>
      </c>
      <c r="I3" s="3" t="b">
        <v>0</v>
      </c>
      <c r="J3" s="4" t="b">
        <v>0</v>
      </c>
    </row>
    <row r="4" spans="1:10" ht="17">
      <c r="A4" s="23" t="s">
        <v>34</v>
      </c>
      <c r="B4" s="51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  <c r="I4" s="3" t="b">
        <v>0</v>
      </c>
      <c r="J4" s="4" t="b">
        <v>0</v>
      </c>
    </row>
    <row r="5" spans="1:10" ht="17">
      <c r="A5" s="23" t="s">
        <v>35</v>
      </c>
      <c r="B5" s="18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  <c r="I5" s="3" t="b">
        <v>0</v>
      </c>
      <c r="J5" s="4" t="b">
        <v>0</v>
      </c>
    </row>
    <row r="6" spans="1:10" ht="17">
      <c r="A6" s="23" t="s">
        <v>36</v>
      </c>
      <c r="B6" s="51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  <c r="J6" s="4" t="b">
        <v>0</v>
      </c>
    </row>
    <row r="7" spans="1:10" ht="17">
      <c r="A7" s="23" t="s">
        <v>37</v>
      </c>
      <c r="B7" s="18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  <c r="J7" s="4" t="b">
        <v>0</v>
      </c>
    </row>
    <row r="8" spans="1:10" ht="18">
      <c r="A8" s="44" t="s">
        <v>38</v>
      </c>
      <c r="B8" s="8" t="s">
        <v>113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  <c r="J8" s="4" t="b">
        <v>0</v>
      </c>
    </row>
    <row r="9" spans="1:10" ht="17">
      <c r="A9" s="23" t="s">
        <v>39</v>
      </c>
      <c r="B9" s="18" t="b">
        <v>0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  <c r="J9" s="4" t="b">
        <v>0</v>
      </c>
    </row>
    <row r="10" spans="1:10" ht="17">
      <c r="A10" s="23" t="s">
        <v>40</v>
      </c>
      <c r="B10" s="51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  <c r="J10" s="4" t="b">
        <v>0</v>
      </c>
    </row>
    <row r="11" spans="1:10" ht="18">
      <c r="A11" s="44" t="s">
        <v>41</v>
      </c>
      <c r="B11" s="19" t="s">
        <v>113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  <c r="J11" s="4" t="b">
        <v>0</v>
      </c>
    </row>
    <row r="12" spans="1:10" ht="17">
      <c r="A12" s="23" t="s">
        <v>42</v>
      </c>
      <c r="B12" s="51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  <c r="J12" s="4" t="b">
        <v>0</v>
      </c>
    </row>
    <row r="13" spans="1:10" ht="17">
      <c r="A13" s="23" t="s">
        <v>43</v>
      </c>
      <c r="B13" s="18" t="b">
        <v>0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  <c r="J13" s="4" t="b">
        <v>0</v>
      </c>
    </row>
    <row r="14" spans="1:10" ht="17">
      <c r="A14" s="23" t="s">
        <v>44</v>
      </c>
      <c r="B14" s="51" t="b">
        <v>0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  <c r="J14" s="4" t="b">
        <v>0</v>
      </c>
    </row>
    <row r="15" spans="1:10" ht="18">
      <c r="A15" s="45" t="s">
        <v>45</v>
      </c>
      <c r="B15" s="19" t="s">
        <v>113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  <c r="I15" s="3" t="b">
        <v>0</v>
      </c>
      <c r="J15" s="4" t="b">
        <v>0</v>
      </c>
    </row>
    <row r="16" spans="1:10" ht="17" thickBot="1">
      <c r="A16" s="16" t="s">
        <v>130</v>
      </c>
      <c r="B16" s="74">
        <f>COUNTIF(B3:B15,TRUE)</f>
        <v>0</v>
      </c>
      <c r="C16" s="74">
        <f t="shared" ref="C16:J16" si="0">COUNTIF(C3:C15,TRUE)</f>
        <v>0</v>
      </c>
      <c r="D16" s="74">
        <f t="shared" si="0"/>
        <v>0</v>
      </c>
      <c r="E16" s="74">
        <f t="shared" si="0"/>
        <v>0</v>
      </c>
      <c r="F16" s="74">
        <f t="shared" si="0"/>
        <v>0</v>
      </c>
      <c r="G16" s="74">
        <f t="shared" si="0"/>
        <v>0</v>
      </c>
      <c r="H16" s="74">
        <f t="shared" si="0"/>
        <v>0</v>
      </c>
      <c r="I16" s="74">
        <f t="shared" si="0"/>
        <v>0</v>
      </c>
      <c r="J16" s="74">
        <f t="shared" si="0"/>
        <v>0</v>
      </c>
    </row>
    <row r="17" spans="1:10" ht="17" thickTop="1"/>
    <row r="18" spans="1:10" ht="17">
      <c r="A18" s="50" t="s">
        <v>128</v>
      </c>
      <c r="B18" s="41" t="s">
        <v>120</v>
      </c>
      <c r="C18" s="42" t="s">
        <v>13</v>
      </c>
      <c r="D18" s="42" t="s">
        <v>14</v>
      </c>
      <c r="E18" s="42" t="s">
        <v>15</v>
      </c>
      <c r="F18" s="42" t="s">
        <v>16</v>
      </c>
      <c r="G18" s="42" t="s">
        <v>17</v>
      </c>
      <c r="H18" s="42" t="s">
        <v>18</v>
      </c>
      <c r="I18" s="42" t="s">
        <v>19</v>
      </c>
      <c r="J18" s="43" t="s">
        <v>20</v>
      </c>
    </row>
    <row r="19" spans="1:10" ht="17">
      <c r="A19" s="1" t="s">
        <v>33</v>
      </c>
      <c r="B19" s="39">
        <f>SUM(C19:I19)</f>
        <v>111</v>
      </c>
      <c r="C19" s="34">
        <v>13</v>
      </c>
      <c r="D19" s="34">
        <v>10</v>
      </c>
      <c r="E19" s="34">
        <v>10</v>
      </c>
      <c r="F19" s="34">
        <v>14</v>
      </c>
      <c r="G19" s="34">
        <v>26</v>
      </c>
      <c r="H19" s="34">
        <v>19</v>
      </c>
      <c r="I19" s="34">
        <v>19</v>
      </c>
      <c r="J19" s="34">
        <v>31</v>
      </c>
    </row>
    <row r="20" spans="1:10" ht="17">
      <c r="A20" s="1" t="s">
        <v>34</v>
      </c>
      <c r="B20" s="35">
        <f t="shared" ref="B20:B30" si="1">SUM(C20:I20)</f>
        <v>97</v>
      </c>
      <c r="C20" s="35">
        <v>11</v>
      </c>
      <c r="D20" s="35">
        <v>22</v>
      </c>
      <c r="E20" s="35">
        <v>28</v>
      </c>
      <c r="F20" s="35">
        <v>13</v>
      </c>
      <c r="G20" s="35">
        <v>8</v>
      </c>
      <c r="H20" s="35">
        <v>8</v>
      </c>
      <c r="I20" s="35">
        <v>7</v>
      </c>
      <c r="J20" s="35">
        <v>19</v>
      </c>
    </row>
    <row r="21" spans="1:10" ht="17">
      <c r="A21" s="1" t="s">
        <v>35</v>
      </c>
      <c r="B21" s="39">
        <f t="shared" si="1"/>
        <v>101</v>
      </c>
      <c r="C21" s="34">
        <v>16</v>
      </c>
      <c r="D21" s="34">
        <v>17</v>
      </c>
      <c r="E21" s="34">
        <v>12</v>
      </c>
      <c r="F21" s="34">
        <v>4</v>
      </c>
      <c r="G21" s="34">
        <v>5</v>
      </c>
      <c r="H21" s="34">
        <v>32</v>
      </c>
      <c r="I21" s="34">
        <v>15</v>
      </c>
      <c r="J21" s="34">
        <v>40</v>
      </c>
    </row>
    <row r="22" spans="1:10" ht="17">
      <c r="A22" s="1" t="s">
        <v>36</v>
      </c>
      <c r="B22" s="35">
        <f t="shared" si="1"/>
        <v>67</v>
      </c>
      <c r="C22" s="35">
        <v>13</v>
      </c>
      <c r="D22" s="35">
        <v>12</v>
      </c>
      <c r="E22" s="35">
        <v>6</v>
      </c>
      <c r="F22" s="35">
        <v>5</v>
      </c>
      <c r="G22" s="35">
        <v>11</v>
      </c>
      <c r="H22" s="35">
        <v>15</v>
      </c>
      <c r="I22" s="35">
        <v>5</v>
      </c>
      <c r="J22" s="35">
        <v>22</v>
      </c>
    </row>
    <row r="23" spans="1:10" ht="17">
      <c r="A23" s="1" t="s">
        <v>37</v>
      </c>
      <c r="B23" s="39">
        <f t="shared" si="1"/>
        <v>90</v>
      </c>
      <c r="C23" s="34">
        <v>12</v>
      </c>
      <c r="D23" s="34">
        <v>8</v>
      </c>
      <c r="E23" s="34">
        <v>12</v>
      </c>
      <c r="F23" s="34">
        <v>21</v>
      </c>
      <c r="G23" s="34">
        <v>19</v>
      </c>
      <c r="H23" s="34">
        <v>13</v>
      </c>
      <c r="I23" s="34">
        <v>5</v>
      </c>
      <c r="J23" s="34">
        <v>18</v>
      </c>
    </row>
    <row r="24" spans="1:10" ht="17">
      <c r="A24" s="37" t="s">
        <v>38</v>
      </c>
      <c r="B24" s="35">
        <f t="shared" si="1"/>
        <v>157</v>
      </c>
      <c r="C24" s="35">
        <v>31</v>
      </c>
      <c r="D24" s="35">
        <v>16</v>
      </c>
      <c r="E24" s="35">
        <v>15</v>
      </c>
      <c r="F24" s="35">
        <v>25</v>
      </c>
      <c r="G24" s="35">
        <v>12</v>
      </c>
      <c r="H24" s="35">
        <v>40</v>
      </c>
      <c r="I24" s="35">
        <v>18</v>
      </c>
      <c r="J24" s="35">
        <v>18</v>
      </c>
    </row>
    <row r="25" spans="1:10" ht="17">
      <c r="A25" s="1" t="s">
        <v>39</v>
      </c>
      <c r="B25" s="39">
        <f t="shared" si="1"/>
        <v>80</v>
      </c>
      <c r="C25" s="34">
        <v>17</v>
      </c>
      <c r="D25" s="34">
        <v>7</v>
      </c>
      <c r="E25" s="34">
        <v>10</v>
      </c>
      <c r="F25" s="34">
        <v>7</v>
      </c>
      <c r="G25" s="34">
        <v>14</v>
      </c>
      <c r="H25" s="34">
        <v>16</v>
      </c>
      <c r="I25" s="34">
        <v>9</v>
      </c>
      <c r="J25" s="34">
        <v>9</v>
      </c>
    </row>
    <row r="26" spans="1:10" ht="17">
      <c r="A26" s="1" t="s">
        <v>40</v>
      </c>
      <c r="B26" s="35">
        <f t="shared" si="1"/>
        <v>64</v>
      </c>
      <c r="C26" s="35">
        <v>14</v>
      </c>
      <c r="D26" s="35">
        <v>8</v>
      </c>
      <c r="E26" s="35">
        <v>10</v>
      </c>
      <c r="F26" s="35">
        <v>5</v>
      </c>
      <c r="G26" s="35">
        <v>7</v>
      </c>
      <c r="H26" s="35">
        <v>15</v>
      </c>
      <c r="I26" s="35">
        <v>5</v>
      </c>
      <c r="J26" s="35">
        <v>19</v>
      </c>
    </row>
    <row r="27" spans="1:10" ht="17">
      <c r="A27" s="37" t="s">
        <v>41</v>
      </c>
      <c r="B27" s="39">
        <f t="shared" si="1"/>
        <v>144</v>
      </c>
      <c r="C27" s="34">
        <v>24</v>
      </c>
      <c r="D27" s="34">
        <v>17</v>
      </c>
      <c r="E27" s="34">
        <v>30</v>
      </c>
      <c r="F27" s="34">
        <v>23</v>
      </c>
      <c r="G27" s="34">
        <v>18</v>
      </c>
      <c r="H27" s="34">
        <v>12</v>
      </c>
      <c r="I27" s="34">
        <v>20</v>
      </c>
      <c r="J27" s="34">
        <v>9</v>
      </c>
    </row>
    <row r="28" spans="1:10" ht="17">
      <c r="A28" s="1" t="s">
        <v>42</v>
      </c>
      <c r="B28" s="35">
        <f t="shared" si="1"/>
        <v>124</v>
      </c>
      <c r="C28" s="35">
        <v>15</v>
      </c>
      <c r="D28" s="35">
        <v>25</v>
      </c>
      <c r="E28" s="35">
        <v>17</v>
      </c>
      <c r="F28" s="35">
        <v>22</v>
      </c>
      <c r="G28" s="35">
        <v>10</v>
      </c>
      <c r="H28" s="35">
        <v>12</v>
      </c>
      <c r="I28" s="35">
        <v>23</v>
      </c>
      <c r="J28" s="35">
        <v>17</v>
      </c>
    </row>
    <row r="29" spans="1:10" ht="17">
      <c r="A29" s="1" t="s">
        <v>43</v>
      </c>
      <c r="B29" s="39">
        <f t="shared" si="1"/>
        <v>59</v>
      </c>
      <c r="C29" s="34">
        <v>15</v>
      </c>
      <c r="D29" s="34">
        <v>5</v>
      </c>
      <c r="E29" s="34">
        <v>6</v>
      </c>
      <c r="F29" s="34">
        <v>4</v>
      </c>
      <c r="G29" s="34">
        <v>10</v>
      </c>
      <c r="H29" s="34">
        <v>8</v>
      </c>
      <c r="I29" s="34">
        <v>11</v>
      </c>
      <c r="J29" s="34">
        <v>22</v>
      </c>
    </row>
    <row r="30" spans="1:10" ht="17">
      <c r="A30" s="1" t="s">
        <v>44</v>
      </c>
      <c r="B30" s="35">
        <f t="shared" si="1"/>
        <v>78</v>
      </c>
      <c r="C30" s="36">
        <v>3</v>
      </c>
      <c r="D30" s="36">
        <v>4</v>
      </c>
      <c r="E30" s="36">
        <v>37</v>
      </c>
      <c r="F30" s="36">
        <v>15</v>
      </c>
      <c r="G30" s="36">
        <v>6</v>
      </c>
      <c r="H30" s="36">
        <v>7</v>
      </c>
      <c r="I30" s="36">
        <v>6</v>
      </c>
      <c r="J30" s="36">
        <v>17</v>
      </c>
    </row>
    <row r="31" spans="1:10" ht="17">
      <c r="A31" s="40" t="s">
        <v>45</v>
      </c>
      <c r="B31" s="39">
        <f>SUM(C31:I31)</f>
        <v>135</v>
      </c>
      <c r="C31" s="52">
        <v>18</v>
      </c>
      <c r="D31" s="52">
        <v>10</v>
      </c>
      <c r="E31" s="52">
        <v>10</v>
      </c>
      <c r="F31" s="52">
        <v>26</v>
      </c>
      <c r="G31" s="52">
        <v>37</v>
      </c>
      <c r="H31" s="52">
        <v>15</v>
      </c>
      <c r="I31" s="52">
        <v>19</v>
      </c>
      <c r="J31" s="52">
        <v>17</v>
      </c>
    </row>
    <row r="32" spans="1:10" ht="17" thickBot="1">
      <c r="A32" s="16" t="s">
        <v>129</v>
      </c>
      <c r="B32" s="74"/>
      <c r="C32" s="74">
        <f>SUMIF(C3:C15,TRUE, C19:C31)</f>
        <v>0</v>
      </c>
      <c r="D32" s="74">
        <f t="shared" ref="D32:J32" si="2">SUMIF(D3:D15,TRUE, D19:D31)</f>
        <v>0</v>
      </c>
      <c r="E32" s="74">
        <f t="shared" si="2"/>
        <v>0</v>
      </c>
      <c r="F32" s="74">
        <f t="shared" si="2"/>
        <v>0</v>
      </c>
      <c r="G32" s="74">
        <f t="shared" si="2"/>
        <v>0</v>
      </c>
      <c r="H32" s="74">
        <f t="shared" si="2"/>
        <v>0</v>
      </c>
      <c r="I32" s="74">
        <f t="shared" si="2"/>
        <v>0</v>
      </c>
      <c r="J32" s="74">
        <f t="shared" si="2"/>
        <v>0</v>
      </c>
    </row>
    <row r="33" ht="17" thickTop="1"/>
  </sheetData>
  <mergeCells count="1">
    <mergeCell ref="A1:J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97630-434B-CD44-941E-C6FA98A8E139}">
  <sheetPr>
    <tabColor rgb="FFAB7942"/>
  </sheetPr>
  <dimension ref="A1:J31"/>
  <sheetViews>
    <sheetView topLeftCell="A10" zoomScale="150" zoomScaleNormal="150" workbookViewId="0">
      <selection activeCell="B6" sqref="B6"/>
    </sheetView>
  </sheetViews>
  <sheetFormatPr baseColWidth="10" defaultRowHeight="16"/>
  <cols>
    <col min="1" max="1" width="20.5" bestFit="1" customWidth="1"/>
    <col min="2" max="2" width="10.83203125" customWidth="1"/>
  </cols>
  <sheetData>
    <row r="1" spans="1:10" ht="24">
      <c r="A1" s="138" t="s">
        <v>78</v>
      </c>
      <c r="B1" s="139"/>
      <c r="C1" s="139"/>
      <c r="D1" s="139"/>
      <c r="E1" s="139"/>
      <c r="F1" s="139"/>
      <c r="G1" s="139"/>
      <c r="H1" s="139"/>
      <c r="I1" s="139"/>
      <c r="J1" s="140"/>
    </row>
    <row r="2" spans="1:10" ht="17">
      <c r="A2" s="133" t="s">
        <v>131</v>
      </c>
      <c r="B2" s="54" t="s">
        <v>120</v>
      </c>
      <c r="C2" s="55" t="s">
        <v>13</v>
      </c>
      <c r="D2" s="55" t="s">
        <v>14</v>
      </c>
      <c r="E2" s="55" t="s">
        <v>15</v>
      </c>
      <c r="F2" s="55" t="s">
        <v>16</v>
      </c>
      <c r="G2" s="55" t="s">
        <v>17</v>
      </c>
      <c r="H2" s="55" t="s">
        <v>18</v>
      </c>
      <c r="I2" s="55" t="s">
        <v>19</v>
      </c>
      <c r="J2" s="134" t="s">
        <v>20</v>
      </c>
    </row>
    <row r="3" spans="1:10" ht="17">
      <c r="A3" s="95" t="s">
        <v>46</v>
      </c>
      <c r="B3" s="18" t="b">
        <v>0</v>
      </c>
      <c r="C3" s="18" t="b">
        <v>0</v>
      </c>
      <c r="D3" s="18" t="b">
        <v>0</v>
      </c>
      <c r="E3" s="18" t="b">
        <v>0</v>
      </c>
      <c r="F3" s="18" t="b">
        <v>0</v>
      </c>
      <c r="G3" s="18" t="b">
        <v>0</v>
      </c>
      <c r="H3" s="18" t="b">
        <v>0</v>
      </c>
      <c r="I3" s="18" t="b">
        <v>0</v>
      </c>
      <c r="J3" s="96" t="b">
        <v>0</v>
      </c>
    </row>
    <row r="4" spans="1:10" ht="17">
      <c r="A4" s="95" t="s">
        <v>47</v>
      </c>
      <c r="B4" s="51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  <c r="I4" s="3" t="b">
        <v>0</v>
      </c>
      <c r="J4" s="97" t="b">
        <v>0</v>
      </c>
    </row>
    <row r="5" spans="1:10" ht="17">
      <c r="A5" s="95" t="s">
        <v>48</v>
      </c>
      <c r="B5" s="18" t="b">
        <v>0</v>
      </c>
      <c r="C5" s="18" t="b">
        <v>0</v>
      </c>
      <c r="D5" s="18" t="b">
        <v>0</v>
      </c>
      <c r="E5" s="18" t="b">
        <v>0</v>
      </c>
      <c r="F5" s="18" t="b">
        <v>0</v>
      </c>
      <c r="G5" s="18" t="b">
        <v>0</v>
      </c>
      <c r="H5" s="18" t="b">
        <v>0</v>
      </c>
      <c r="I5" s="18" t="b">
        <v>0</v>
      </c>
      <c r="J5" s="96" t="b">
        <v>0</v>
      </c>
    </row>
    <row r="6" spans="1:10" ht="17">
      <c r="A6" s="95" t="s">
        <v>49</v>
      </c>
      <c r="B6" s="51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  <c r="J6" s="97" t="b">
        <v>0</v>
      </c>
    </row>
    <row r="7" spans="1:10" ht="17">
      <c r="A7" s="95" t="s">
        <v>50</v>
      </c>
      <c r="B7" s="18" t="b">
        <v>0</v>
      </c>
      <c r="C7" s="18" t="b">
        <v>0</v>
      </c>
      <c r="D7" s="18" t="b">
        <v>0</v>
      </c>
      <c r="E7" s="18" t="b">
        <v>0</v>
      </c>
      <c r="F7" s="18" t="b">
        <v>0</v>
      </c>
      <c r="G7" s="18" t="b">
        <v>0</v>
      </c>
      <c r="H7" s="18" t="b">
        <v>0</v>
      </c>
      <c r="I7" s="18" t="b">
        <v>0</v>
      </c>
      <c r="J7" s="96" t="b">
        <v>0</v>
      </c>
    </row>
    <row r="8" spans="1:10" ht="17">
      <c r="A8" s="95" t="s">
        <v>51</v>
      </c>
      <c r="B8" s="51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  <c r="J8" s="97" t="b">
        <v>0</v>
      </c>
    </row>
    <row r="9" spans="1:10" ht="17">
      <c r="A9" s="95" t="s">
        <v>52</v>
      </c>
      <c r="B9" s="18" t="b">
        <v>0</v>
      </c>
      <c r="C9" s="18" t="b">
        <v>0</v>
      </c>
      <c r="D9" s="18" t="b">
        <v>0</v>
      </c>
      <c r="E9" s="18" t="b">
        <v>0</v>
      </c>
      <c r="F9" s="18" t="b">
        <v>0</v>
      </c>
      <c r="G9" s="18" t="b">
        <v>0</v>
      </c>
      <c r="H9" s="18" t="b">
        <v>0</v>
      </c>
      <c r="I9" s="18" t="b">
        <v>0</v>
      </c>
      <c r="J9" s="96" t="b">
        <v>0</v>
      </c>
    </row>
    <row r="10" spans="1:10" ht="17">
      <c r="A10" s="98" t="s">
        <v>53</v>
      </c>
      <c r="B10" s="57" t="s">
        <v>113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  <c r="J10" s="97" t="b">
        <v>0</v>
      </c>
    </row>
    <row r="11" spans="1:10" ht="17">
      <c r="A11" s="95" t="s">
        <v>54</v>
      </c>
      <c r="B11" s="18" t="b">
        <v>0</v>
      </c>
      <c r="C11" s="18" t="b">
        <v>0</v>
      </c>
      <c r="D11" s="18" t="b">
        <v>0</v>
      </c>
      <c r="E11" s="18" t="b">
        <v>0</v>
      </c>
      <c r="F11" s="18" t="b">
        <v>0</v>
      </c>
      <c r="G11" s="18" t="b">
        <v>0</v>
      </c>
      <c r="H11" s="18" t="b">
        <v>0</v>
      </c>
      <c r="I11" s="18" t="b">
        <v>0</v>
      </c>
      <c r="J11" s="96" t="b">
        <v>0</v>
      </c>
    </row>
    <row r="12" spans="1:10" ht="17">
      <c r="A12" s="95" t="s">
        <v>55</v>
      </c>
      <c r="B12" s="51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  <c r="J12" s="97" t="b">
        <v>0</v>
      </c>
    </row>
    <row r="13" spans="1:10" ht="17">
      <c r="A13" s="95" t="s">
        <v>56</v>
      </c>
      <c r="B13" s="18" t="b">
        <v>0</v>
      </c>
      <c r="C13" s="18" t="b">
        <v>0</v>
      </c>
      <c r="D13" s="18" t="b">
        <v>0</v>
      </c>
      <c r="E13" s="18" t="b">
        <v>0</v>
      </c>
      <c r="F13" s="18" t="b">
        <v>0</v>
      </c>
      <c r="G13" s="18" t="b">
        <v>0</v>
      </c>
      <c r="H13" s="18" t="b">
        <v>0</v>
      </c>
      <c r="I13" s="18" t="b">
        <v>0</v>
      </c>
      <c r="J13" s="96" t="b">
        <v>0</v>
      </c>
    </row>
    <row r="14" spans="1:10" ht="17">
      <c r="A14" s="98" t="s">
        <v>57</v>
      </c>
      <c r="B14" s="57" t="s">
        <v>113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  <c r="I14" s="3" t="b">
        <v>0</v>
      </c>
      <c r="J14" s="97" t="b">
        <v>0</v>
      </c>
    </row>
    <row r="15" spans="1:10" ht="17" thickBot="1">
      <c r="A15" s="99" t="s">
        <v>130</v>
      </c>
      <c r="B15" s="100">
        <f>COUNTIF(B2:B14,TRUE)</f>
        <v>0</v>
      </c>
      <c r="C15" s="100">
        <f t="shared" ref="C15:J15" si="0">COUNTIF(C2:C14,TRUE)</f>
        <v>0</v>
      </c>
      <c r="D15" s="100">
        <f t="shared" si="0"/>
        <v>0</v>
      </c>
      <c r="E15" s="100">
        <f t="shared" si="0"/>
        <v>0</v>
      </c>
      <c r="F15" s="100">
        <f t="shared" si="0"/>
        <v>0</v>
      </c>
      <c r="G15" s="100">
        <f t="shared" si="0"/>
        <v>0</v>
      </c>
      <c r="H15" s="100">
        <f t="shared" si="0"/>
        <v>0</v>
      </c>
      <c r="I15" s="100">
        <f t="shared" si="0"/>
        <v>0</v>
      </c>
      <c r="J15" s="101">
        <f t="shared" si="0"/>
        <v>0</v>
      </c>
    </row>
    <row r="16" spans="1:10" ht="18" thickTop="1" thickBot="1">
      <c r="A16" s="93"/>
      <c r="B16" s="93"/>
      <c r="C16" s="94"/>
      <c r="D16" s="94"/>
      <c r="E16" s="94"/>
      <c r="F16" s="94"/>
      <c r="G16" s="94"/>
      <c r="H16" s="94"/>
      <c r="I16" s="94"/>
      <c r="J16" s="94"/>
    </row>
    <row r="17" spans="1:10" ht="18" thickTop="1">
      <c r="A17" s="53" t="s">
        <v>128</v>
      </c>
      <c r="B17" s="54" t="s">
        <v>120</v>
      </c>
      <c r="C17" s="55" t="s">
        <v>13</v>
      </c>
      <c r="D17" s="55" t="s">
        <v>14</v>
      </c>
      <c r="E17" s="55" t="s">
        <v>15</v>
      </c>
      <c r="F17" s="55" t="s">
        <v>16</v>
      </c>
      <c r="G17" s="55" t="s">
        <v>17</v>
      </c>
      <c r="H17" s="55" t="s">
        <v>18</v>
      </c>
      <c r="I17" s="55" t="s">
        <v>19</v>
      </c>
      <c r="J17" s="56" t="s">
        <v>20</v>
      </c>
    </row>
    <row r="18" spans="1:10" ht="17">
      <c r="A18" s="23" t="s">
        <v>46</v>
      </c>
      <c r="B18" s="39">
        <f>SUM(C18:I18)</f>
        <v>159</v>
      </c>
      <c r="C18" s="34">
        <v>19</v>
      </c>
      <c r="D18" s="34">
        <v>35</v>
      </c>
      <c r="E18" s="34">
        <v>34</v>
      </c>
      <c r="F18" s="34">
        <v>13</v>
      </c>
      <c r="G18" s="34">
        <v>26</v>
      </c>
      <c r="H18" s="34">
        <v>12</v>
      </c>
      <c r="I18" s="34">
        <v>20</v>
      </c>
      <c r="J18" s="34">
        <v>22</v>
      </c>
    </row>
    <row r="19" spans="1:10" ht="17">
      <c r="A19" s="23" t="s">
        <v>47</v>
      </c>
      <c r="B19" s="35">
        <f t="shared" ref="B19:B29" si="1">SUM(C19:I19)</f>
        <v>176</v>
      </c>
      <c r="C19" s="35">
        <v>17</v>
      </c>
      <c r="D19" s="35">
        <v>12</v>
      </c>
      <c r="E19" s="35">
        <v>10</v>
      </c>
      <c r="F19" s="35">
        <v>48</v>
      </c>
      <c r="G19" s="35">
        <v>41</v>
      </c>
      <c r="H19" s="35">
        <v>30</v>
      </c>
      <c r="I19" s="35">
        <v>18</v>
      </c>
      <c r="J19" s="35">
        <v>24</v>
      </c>
    </row>
    <row r="20" spans="1:10" ht="17">
      <c r="A20" s="23" t="s">
        <v>48</v>
      </c>
      <c r="B20" s="39">
        <f t="shared" si="1"/>
        <v>136</v>
      </c>
      <c r="C20" s="34">
        <v>14</v>
      </c>
      <c r="D20" s="34">
        <v>12</v>
      </c>
      <c r="E20" s="34">
        <v>14</v>
      </c>
      <c r="F20" s="34">
        <v>19</v>
      </c>
      <c r="G20" s="34">
        <v>24</v>
      </c>
      <c r="H20" s="34">
        <v>31</v>
      </c>
      <c r="I20" s="34">
        <v>22</v>
      </c>
      <c r="J20" s="34">
        <v>21</v>
      </c>
    </row>
    <row r="21" spans="1:10" ht="17">
      <c r="A21" s="23" t="s">
        <v>49</v>
      </c>
      <c r="B21" s="35">
        <f t="shared" si="1"/>
        <v>119</v>
      </c>
      <c r="C21" s="35">
        <v>20</v>
      </c>
      <c r="D21" s="35">
        <v>20</v>
      </c>
      <c r="E21" s="35">
        <v>18</v>
      </c>
      <c r="F21" s="35">
        <v>27</v>
      </c>
      <c r="G21" s="35">
        <v>9</v>
      </c>
      <c r="H21" s="35">
        <v>10</v>
      </c>
      <c r="I21" s="35">
        <v>15</v>
      </c>
      <c r="J21" s="35">
        <v>24</v>
      </c>
    </row>
    <row r="22" spans="1:10" ht="17">
      <c r="A22" s="23" t="s">
        <v>50</v>
      </c>
      <c r="B22" s="39">
        <f t="shared" si="1"/>
        <v>117</v>
      </c>
      <c r="C22" s="34">
        <v>16</v>
      </c>
      <c r="D22" s="34">
        <v>6</v>
      </c>
      <c r="E22" s="34">
        <v>24</v>
      </c>
      <c r="F22" s="34">
        <v>13</v>
      </c>
      <c r="G22" s="34">
        <v>26</v>
      </c>
      <c r="H22" s="34">
        <v>12</v>
      </c>
      <c r="I22" s="34">
        <v>20</v>
      </c>
      <c r="J22" s="34">
        <v>22</v>
      </c>
    </row>
    <row r="23" spans="1:10" ht="17">
      <c r="A23" s="23" t="s">
        <v>51</v>
      </c>
      <c r="B23" s="35">
        <f t="shared" si="1"/>
        <v>87</v>
      </c>
      <c r="C23" s="35">
        <v>17</v>
      </c>
      <c r="D23" s="35">
        <v>11</v>
      </c>
      <c r="E23" s="35">
        <v>7</v>
      </c>
      <c r="F23" s="35">
        <v>8</v>
      </c>
      <c r="G23" s="35">
        <v>17</v>
      </c>
      <c r="H23" s="35">
        <v>11</v>
      </c>
      <c r="I23" s="35">
        <v>16</v>
      </c>
      <c r="J23" s="35">
        <v>33</v>
      </c>
    </row>
    <row r="24" spans="1:10" ht="17">
      <c r="A24" s="23" t="s">
        <v>52</v>
      </c>
      <c r="B24" s="39">
        <f t="shared" si="1"/>
        <v>104</v>
      </c>
      <c r="C24" s="34">
        <v>11</v>
      </c>
      <c r="D24" s="34">
        <v>8</v>
      </c>
      <c r="E24" s="34">
        <v>18</v>
      </c>
      <c r="F24" s="34">
        <v>15</v>
      </c>
      <c r="G24" s="34">
        <v>14</v>
      </c>
      <c r="H24" s="34">
        <v>17</v>
      </c>
      <c r="I24" s="34">
        <v>21</v>
      </c>
      <c r="J24" s="34">
        <v>17</v>
      </c>
    </row>
    <row r="25" spans="1:10" ht="17">
      <c r="A25" s="44" t="s">
        <v>53</v>
      </c>
      <c r="B25" s="35">
        <f t="shared" si="1"/>
        <v>191</v>
      </c>
      <c r="C25" s="35">
        <v>28</v>
      </c>
      <c r="D25" s="35">
        <v>15</v>
      </c>
      <c r="E25" s="35">
        <v>28</v>
      </c>
      <c r="F25" s="35">
        <v>27</v>
      </c>
      <c r="G25" s="35">
        <v>26</v>
      </c>
      <c r="H25" s="35">
        <v>29</v>
      </c>
      <c r="I25" s="35">
        <v>38</v>
      </c>
      <c r="J25" s="35">
        <v>17</v>
      </c>
    </row>
    <row r="26" spans="1:10" ht="17">
      <c r="A26" s="23" t="s">
        <v>54</v>
      </c>
      <c r="B26" s="39">
        <f t="shared" si="1"/>
        <v>169</v>
      </c>
      <c r="C26" s="34">
        <v>14</v>
      </c>
      <c r="D26" s="34">
        <v>47</v>
      </c>
      <c r="E26" s="34">
        <v>19</v>
      </c>
      <c r="F26" s="34">
        <v>18</v>
      </c>
      <c r="G26" s="34">
        <v>15</v>
      </c>
      <c r="H26" s="34">
        <v>27</v>
      </c>
      <c r="I26" s="34">
        <v>29</v>
      </c>
      <c r="J26" s="34">
        <v>22</v>
      </c>
    </row>
    <row r="27" spans="1:10" ht="17">
      <c r="A27" s="23" t="s">
        <v>55</v>
      </c>
      <c r="B27" s="35">
        <f t="shared" si="1"/>
        <v>112</v>
      </c>
      <c r="C27" s="35">
        <v>16</v>
      </c>
      <c r="D27" s="35">
        <v>12</v>
      </c>
      <c r="E27" s="35">
        <v>12</v>
      </c>
      <c r="F27" s="35">
        <v>17</v>
      </c>
      <c r="G27" s="35">
        <v>13</v>
      </c>
      <c r="H27" s="35">
        <v>19</v>
      </c>
      <c r="I27" s="35">
        <v>23</v>
      </c>
      <c r="J27" s="35">
        <v>22</v>
      </c>
    </row>
    <row r="28" spans="1:10" ht="17">
      <c r="A28" s="23" t="s">
        <v>56</v>
      </c>
      <c r="B28" s="39">
        <f t="shared" si="1"/>
        <v>132</v>
      </c>
      <c r="C28" s="34">
        <v>10</v>
      </c>
      <c r="D28" s="34">
        <v>39</v>
      </c>
      <c r="E28" s="34">
        <v>22</v>
      </c>
      <c r="F28" s="34">
        <v>14</v>
      </c>
      <c r="G28" s="34">
        <v>8</v>
      </c>
      <c r="H28" s="34">
        <v>26</v>
      </c>
      <c r="I28" s="34">
        <v>13</v>
      </c>
      <c r="J28" s="34">
        <v>26</v>
      </c>
    </row>
    <row r="29" spans="1:10" ht="17">
      <c r="A29" s="44" t="s">
        <v>57</v>
      </c>
      <c r="B29" s="35">
        <f t="shared" si="1"/>
        <v>244</v>
      </c>
      <c r="C29" s="36">
        <v>28</v>
      </c>
      <c r="D29" s="36">
        <v>42</v>
      </c>
      <c r="E29" s="36">
        <v>19</v>
      </c>
      <c r="F29" s="36">
        <v>72</v>
      </c>
      <c r="G29" s="36">
        <v>22</v>
      </c>
      <c r="H29" s="36">
        <v>22</v>
      </c>
      <c r="I29" s="36">
        <v>39</v>
      </c>
      <c r="J29" s="36">
        <v>26</v>
      </c>
    </row>
    <row r="30" spans="1:10" ht="17" thickBot="1">
      <c r="A30" s="16" t="s">
        <v>129</v>
      </c>
      <c r="B30" s="58"/>
      <c r="C30" s="59">
        <f>SUMIF(D3:D14,TRUE, D18:D29)</f>
        <v>0</v>
      </c>
      <c r="D30" s="59">
        <f>SUMIF(D3:D14,TRUE, D18:D29)</f>
        <v>0</v>
      </c>
      <c r="E30" s="59">
        <f t="shared" ref="E30:J30" si="2">SUMIF(E3:E14,TRUE, E18:E29)</f>
        <v>0</v>
      </c>
      <c r="F30" s="59">
        <f t="shared" si="2"/>
        <v>0</v>
      </c>
      <c r="G30" s="59">
        <f t="shared" si="2"/>
        <v>0</v>
      </c>
      <c r="H30" s="59">
        <f t="shared" si="2"/>
        <v>0</v>
      </c>
      <c r="I30" s="59">
        <f t="shared" si="2"/>
        <v>0</v>
      </c>
      <c r="J30" s="59">
        <f t="shared" si="2"/>
        <v>0</v>
      </c>
    </row>
    <row r="31" spans="1:10" ht="17" thickTop="1"/>
  </sheetData>
  <mergeCells count="1">
    <mergeCell ref="A1:J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9955-9AAF-D54D-8F7B-472391F1D9BE}">
  <sheetPr>
    <tabColor theme="9"/>
  </sheetPr>
  <dimension ref="A1:L31"/>
  <sheetViews>
    <sheetView topLeftCell="A9" zoomScale="150" zoomScaleNormal="150" workbookViewId="0">
      <selection activeCell="B14" sqref="B14"/>
    </sheetView>
  </sheetViews>
  <sheetFormatPr baseColWidth="10" defaultRowHeight="16"/>
  <cols>
    <col min="1" max="1" width="20.5" bestFit="1" customWidth="1"/>
    <col min="2" max="2" width="10.83203125" customWidth="1"/>
  </cols>
  <sheetData>
    <row r="1" spans="1:12" ht="24">
      <c r="A1" s="141" t="s">
        <v>79</v>
      </c>
      <c r="B1" s="141"/>
      <c r="C1" s="141"/>
      <c r="D1" s="141"/>
      <c r="E1" s="141"/>
      <c r="F1" s="141"/>
      <c r="G1" s="141"/>
      <c r="H1" s="141"/>
      <c r="I1" s="141"/>
      <c r="J1" s="141"/>
    </row>
    <row r="2" spans="1:12" ht="17">
      <c r="A2" s="68" t="s">
        <v>131</v>
      </c>
      <c r="B2" s="60" t="s">
        <v>120</v>
      </c>
      <c r="C2" s="61" t="s">
        <v>13</v>
      </c>
      <c r="D2" s="61" t="s">
        <v>14</v>
      </c>
      <c r="E2" s="61" t="s">
        <v>15</v>
      </c>
      <c r="F2" s="61" t="s">
        <v>16</v>
      </c>
      <c r="G2" s="61" t="s">
        <v>17</v>
      </c>
      <c r="H2" s="61" t="s">
        <v>18</v>
      </c>
      <c r="I2" s="61" t="s">
        <v>19</v>
      </c>
      <c r="J2" s="62" t="s">
        <v>20</v>
      </c>
    </row>
    <row r="3" spans="1:12" ht="17">
      <c r="A3" s="1" t="s">
        <v>58</v>
      </c>
      <c r="B3" s="18" t="b">
        <v>0</v>
      </c>
      <c r="C3" s="3" t="b">
        <v>0</v>
      </c>
      <c r="D3" s="3" t="b">
        <v>0</v>
      </c>
      <c r="E3" s="3" t="b">
        <v>0</v>
      </c>
      <c r="F3" s="3" t="b">
        <v>0</v>
      </c>
      <c r="G3" s="3" t="b">
        <v>0</v>
      </c>
      <c r="H3" s="3" t="b">
        <v>0</v>
      </c>
      <c r="I3" s="3" t="b">
        <v>0</v>
      </c>
      <c r="J3" s="3" t="b">
        <v>0</v>
      </c>
    </row>
    <row r="4" spans="1:12" ht="17">
      <c r="A4" s="1" t="s">
        <v>59</v>
      </c>
      <c r="B4" s="51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  <c r="I4" s="3" t="b">
        <v>0</v>
      </c>
      <c r="J4" s="3" t="b">
        <v>0</v>
      </c>
    </row>
    <row r="5" spans="1:12" ht="17">
      <c r="A5" s="1" t="s">
        <v>60</v>
      </c>
      <c r="B5" s="18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  <c r="I5" s="3" t="b">
        <v>0</v>
      </c>
      <c r="J5" s="3" t="b">
        <v>0</v>
      </c>
    </row>
    <row r="6" spans="1:12" ht="17">
      <c r="A6" s="1" t="s">
        <v>61</v>
      </c>
      <c r="B6" s="51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  <c r="I6" s="3" t="b">
        <v>0</v>
      </c>
      <c r="J6" s="3" t="b">
        <v>0</v>
      </c>
    </row>
    <row r="7" spans="1:12" ht="17">
      <c r="A7" s="1" t="s">
        <v>62</v>
      </c>
      <c r="B7" s="18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  <c r="I7" s="3" t="b">
        <v>0</v>
      </c>
      <c r="J7" s="3" t="b">
        <v>0</v>
      </c>
    </row>
    <row r="8" spans="1:12" ht="17">
      <c r="A8" s="1" t="s">
        <v>63</v>
      </c>
      <c r="B8" s="51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  <c r="I8" s="3" t="b">
        <v>0</v>
      </c>
      <c r="J8" s="3" t="b">
        <v>0</v>
      </c>
    </row>
    <row r="9" spans="1:12" ht="17">
      <c r="A9" s="1" t="s">
        <v>64</v>
      </c>
      <c r="B9" s="18" t="b">
        <v>0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  <c r="I9" s="3" t="b">
        <v>0</v>
      </c>
      <c r="J9" s="3" t="b">
        <v>0</v>
      </c>
      <c r="L9" t="s">
        <v>132</v>
      </c>
    </row>
    <row r="10" spans="1:12" ht="17">
      <c r="A10" s="1" t="s">
        <v>65</v>
      </c>
      <c r="B10" s="51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  <c r="I10" s="3" t="b">
        <v>0</v>
      </c>
      <c r="J10" s="3" t="b">
        <v>0</v>
      </c>
    </row>
    <row r="11" spans="1:12" ht="17">
      <c r="A11" s="1" t="s">
        <v>66</v>
      </c>
      <c r="B11" s="18" t="b">
        <v>0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  <c r="J11" s="3" t="b">
        <v>0</v>
      </c>
    </row>
    <row r="12" spans="1:12" ht="18">
      <c r="A12" s="2" t="s">
        <v>68</v>
      </c>
      <c r="B12" s="8" t="s">
        <v>113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v>0</v>
      </c>
      <c r="J12" s="3" t="b">
        <v>0</v>
      </c>
    </row>
    <row r="13" spans="1:12" ht="17">
      <c r="A13" s="1" t="s">
        <v>67</v>
      </c>
      <c r="B13" s="18" t="b">
        <v>0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v>0</v>
      </c>
      <c r="J13" s="3" t="b">
        <v>0</v>
      </c>
    </row>
    <row r="14" spans="1:12" ht="18">
      <c r="A14" s="1" t="s">
        <v>69</v>
      </c>
      <c r="B14" s="51" t="b">
        <v>0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6" t="b">
        <v>0</v>
      </c>
      <c r="I14" s="5" t="s">
        <v>113</v>
      </c>
      <c r="J14" s="3" t="b">
        <v>0</v>
      </c>
    </row>
    <row r="15" spans="1:12" ht="17" thickBot="1">
      <c r="A15" s="16" t="s">
        <v>130</v>
      </c>
      <c r="B15" s="58">
        <f>COUNTIF(B2:B14,TRUE)</f>
        <v>0</v>
      </c>
      <c r="C15" s="58">
        <f t="shared" ref="C15:J15" si="0">COUNTIF(C2:C14,TRUE)</f>
        <v>0</v>
      </c>
      <c r="D15" s="58">
        <f t="shared" si="0"/>
        <v>0</v>
      </c>
      <c r="E15" s="58">
        <f t="shared" si="0"/>
        <v>0</v>
      </c>
      <c r="F15" s="58">
        <f t="shared" si="0"/>
        <v>0</v>
      </c>
      <c r="G15" s="58">
        <f t="shared" si="0"/>
        <v>0</v>
      </c>
      <c r="H15" s="58">
        <f t="shared" si="0"/>
        <v>0</v>
      </c>
      <c r="I15" s="58">
        <f t="shared" si="0"/>
        <v>0</v>
      </c>
      <c r="J15" s="58">
        <f t="shared" si="0"/>
        <v>0</v>
      </c>
    </row>
    <row r="16" spans="1:12" ht="17" thickTop="1"/>
    <row r="17" spans="1:10" ht="17">
      <c r="A17" s="63" t="s">
        <v>128</v>
      </c>
      <c r="B17" s="64" t="s">
        <v>120</v>
      </c>
      <c r="C17" s="65" t="s">
        <v>13</v>
      </c>
      <c r="D17" s="65" t="s">
        <v>14</v>
      </c>
      <c r="E17" s="65" t="s">
        <v>15</v>
      </c>
      <c r="F17" s="65" t="s">
        <v>16</v>
      </c>
      <c r="G17" s="65" t="s">
        <v>17</v>
      </c>
      <c r="H17" s="65" t="s">
        <v>18</v>
      </c>
      <c r="I17" s="65" t="s">
        <v>19</v>
      </c>
      <c r="J17" s="66" t="s">
        <v>20</v>
      </c>
    </row>
    <row r="18" spans="1:10" ht="17">
      <c r="A18" s="1" t="s">
        <v>58</v>
      </c>
      <c r="B18" s="39">
        <f>SUM(C18:I18)</f>
        <v>105</v>
      </c>
      <c r="C18" s="34">
        <v>10</v>
      </c>
      <c r="D18" s="34">
        <v>11</v>
      </c>
      <c r="E18" s="34">
        <v>17</v>
      </c>
      <c r="F18" s="34">
        <v>9</v>
      </c>
      <c r="G18" s="34">
        <v>29</v>
      </c>
      <c r="H18" s="34">
        <v>21</v>
      </c>
      <c r="I18" s="34">
        <v>8</v>
      </c>
      <c r="J18" s="34">
        <v>27</v>
      </c>
    </row>
    <row r="19" spans="1:10" ht="17">
      <c r="A19" s="1" t="s">
        <v>59</v>
      </c>
      <c r="B19" s="35">
        <f t="shared" ref="B19:B28" si="1">SUM(C19:I19)</f>
        <v>122</v>
      </c>
      <c r="C19" s="35">
        <v>11</v>
      </c>
      <c r="D19" s="35">
        <v>36</v>
      </c>
      <c r="E19" s="35">
        <v>9</v>
      </c>
      <c r="F19" s="35">
        <v>18</v>
      </c>
      <c r="G19" s="35">
        <v>15</v>
      </c>
      <c r="H19" s="35">
        <v>22</v>
      </c>
      <c r="I19" s="35">
        <v>11</v>
      </c>
      <c r="J19" s="35">
        <v>26</v>
      </c>
    </row>
    <row r="20" spans="1:10" ht="17">
      <c r="A20" s="1" t="s">
        <v>60</v>
      </c>
      <c r="B20" s="39">
        <f t="shared" si="1"/>
        <v>111</v>
      </c>
      <c r="C20" s="34">
        <v>25</v>
      </c>
      <c r="D20" s="34">
        <v>13</v>
      </c>
      <c r="E20" s="34">
        <v>26</v>
      </c>
      <c r="F20" s="34">
        <v>11</v>
      </c>
      <c r="G20" s="34">
        <v>20</v>
      </c>
      <c r="H20" s="34">
        <v>12</v>
      </c>
      <c r="I20" s="34">
        <v>4</v>
      </c>
      <c r="J20" s="34">
        <v>27</v>
      </c>
    </row>
    <row r="21" spans="1:10" ht="17">
      <c r="A21" s="1" t="s">
        <v>61</v>
      </c>
      <c r="B21" s="35">
        <f t="shared" si="1"/>
        <v>126</v>
      </c>
      <c r="C21" s="35">
        <v>17</v>
      </c>
      <c r="D21" s="35">
        <v>18</v>
      </c>
      <c r="E21" s="35">
        <v>22</v>
      </c>
      <c r="F21" s="35">
        <v>21</v>
      </c>
      <c r="G21" s="35">
        <v>8</v>
      </c>
      <c r="H21" s="35">
        <v>18</v>
      </c>
      <c r="I21" s="35">
        <v>22</v>
      </c>
      <c r="J21" s="35">
        <v>12</v>
      </c>
    </row>
    <row r="22" spans="1:10" ht="17">
      <c r="A22" s="1" t="s">
        <v>62</v>
      </c>
      <c r="B22" s="39">
        <f t="shared" si="1"/>
        <v>98</v>
      </c>
      <c r="C22" s="34">
        <v>19</v>
      </c>
      <c r="D22" s="34">
        <v>7</v>
      </c>
      <c r="E22" s="34">
        <v>5</v>
      </c>
      <c r="F22" s="34">
        <v>8</v>
      </c>
      <c r="G22" s="34">
        <v>22</v>
      </c>
      <c r="H22" s="34">
        <v>17</v>
      </c>
      <c r="I22" s="34">
        <v>20</v>
      </c>
      <c r="J22" s="34">
        <v>24</v>
      </c>
    </row>
    <row r="23" spans="1:10" ht="17">
      <c r="A23" s="1" t="s">
        <v>63</v>
      </c>
      <c r="B23" s="35">
        <f t="shared" si="1"/>
        <v>110</v>
      </c>
      <c r="C23" s="35">
        <v>12</v>
      </c>
      <c r="D23" s="35">
        <v>9</v>
      </c>
      <c r="E23" s="35">
        <v>29</v>
      </c>
      <c r="F23" s="35">
        <v>17</v>
      </c>
      <c r="G23" s="35">
        <v>6</v>
      </c>
      <c r="H23" s="35">
        <v>9</v>
      </c>
      <c r="I23" s="35">
        <v>28</v>
      </c>
      <c r="J23" s="35">
        <v>10</v>
      </c>
    </row>
    <row r="24" spans="1:10" ht="17">
      <c r="A24" s="1" t="s">
        <v>64</v>
      </c>
      <c r="B24" s="39">
        <f t="shared" si="1"/>
        <v>122</v>
      </c>
      <c r="C24" s="34">
        <v>11</v>
      </c>
      <c r="D24" s="34">
        <v>4</v>
      </c>
      <c r="E24" s="34">
        <v>4</v>
      </c>
      <c r="F24" s="34">
        <v>10</v>
      </c>
      <c r="G24" s="34">
        <v>22</v>
      </c>
      <c r="H24" s="34">
        <v>63</v>
      </c>
      <c r="I24" s="34">
        <v>8</v>
      </c>
      <c r="J24" s="34">
        <v>22</v>
      </c>
    </row>
    <row r="25" spans="1:10" ht="17">
      <c r="A25" s="1" t="s">
        <v>65</v>
      </c>
      <c r="B25" s="35">
        <f t="shared" si="1"/>
        <v>40</v>
      </c>
      <c r="C25" s="35">
        <v>3</v>
      </c>
      <c r="D25" s="35">
        <v>3</v>
      </c>
      <c r="E25" s="35">
        <v>14</v>
      </c>
      <c r="F25" s="35">
        <v>6</v>
      </c>
      <c r="G25" s="35">
        <v>4</v>
      </c>
      <c r="H25" s="35">
        <v>4</v>
      </c>
      <c r="I25" s="35">
        <v>6</v>
      </c>
      <c r="J25" s="35">
        <v>23</v>
      </c>
    </row>
    <row r="26" spans="1:10" ht="17">
      <c r="A26" s="1" t="s">
        <v>66</v>
      </c>
      <c r="B26" s="39">
        <f t="shared" si="1"/>
        <v>29</v>
      </c>
      <c r="C26" s="34">
        <v>3</v>
      </c>
      <c r="D26" s="34">
        <v>3</v>
      </c>
      <c r="E26" s="34">
        <v>3</v>
      </c>
      <c r="F26" s="34">
        <v>3</v>
      </c>
      <c r="G26" s="34">
        <v>6</v>
      </c>
      <c r="H26" s="34">
        <v>5</v>
      </c>
      <c r="I26" s="34">
        <v>6</v>
      </c>
      <c r="J26" s="34">
        <v>16</v>
      </c>
    </row>
    <row r="27" spans="1:10" ht="17">
      <c r="A27" s="2" t="s">
        <v>68</v>
      </c>
      <c r="B27" s="35">
        <f t="shared" si="1"/>
        <v>70</v>
      </c>
      <c r="C27" s="35">
        <v>20</v>
      </c>
      <c r="D27" s="35">
        <v>6</v>
      </c>
      <c r="E27" s="35">
        <v>8</v>
      </c>
      <c r="F27" s="35">
        <v>12</v>
      </c>
      <c r="G27" s="35">
        <v>7</v>
      </c>
      <c r="H27" s="35">
        <v>6</v>
      </c>
      <c r="I27" s="35">
        <v>11</v>
      </c>
      <c r="J27" s="35">
        <v>23</v>
      </c>
    </row>
    <row r="28" spans="1:10" ht="17">
      <c r="A28" s="1" t="s">
        <v>67</v>
      </c>
      <c r="B28" s="39">
        <f t="shared" si="1"/>
        <v>52</v>
      </c>
      <c r="C28" s="34">
        <v>6</v>
      </c>
      <c r="D28" s="34">
        <v>6</v>
      </c>
      <c r="E28" s="34">
        <v>6</v>
      </c>
      <c r="F28" s="34">
        <v>10</v>
      </c>
      <c r="G28" s="34">
        <v>11</v>
      </c>
      <c r="H28" s="34">
        <v>4</v>
      </c>
      <c r="I28" s="34">
        <v>9</v>
      </c>
      <c r="J28" s="34">
        <v>51</v>
      </c>
    </row>
    <row r="29" spans="1:10" ht="18">
      <c r="A29" s="1" t="s">
        <v>69</v>
      </c>
      <c r="B29" s="35">
        <f>SUM(C29:H29)</f>
        <v>41</v>
      </c>
      <c r="C29" s="36">
        <v>7</v>
      </c>
      <c r="D29" s="36">
        <v>5</v>
      </c>
      <c r="E29" s="36">
        <v>5</v>
      </c>
      <c r="F29" s="36">
        <v>4</v>
      </c>
      <c r="G29" s="36">
        <v>5</v>
      </c>
      <c r="H29" s="36">
        <v>15</v>
      </c>
      <c r="I29" s="5" t="s">
        <v>113</v>
      </c>
      <c r="J29" s="36">
        <v>18</v>
      </c>
    </row>
    <row r="30" spans="1:10" ht="17" thickBot="1">
      <c r="A30" s="16" t="s">
        <v>129</v>
      </c>
      <c r="B30" s="58"/>
      <c r="C30" s="59">
        <f>SUMIF(C3:C14,TRUE, C18:C29)</f>
        <v>0</v>
      </c>
      <c r="D30" s="59">
        <f>SUMIF(D3:D14,TRUE, D18:D29)</f>
        <v>0</v>
      </c>
      <c r="E30" s="59">
        <f t="shared" ref="E30:J30" si="2">SUMIF(E3:E14,TRUE, E18:E29)</f>
        <v>0</v>
      </c>
      <c r="F30" s="59">
        <f t="shared" si="2"/>
        <v>0</v>
      </c>
      <c r="G30" s="59">
        <f t="shared" si="2"/>
        <v>0</v>
      </c>
      <c r="H30" s="59">
        <f t="shared" si="2"/>
        <v>0</v>
      </c>
      <c r="I30" s="59">
        <f t="shared" si="2"/>
        <v>0</v>
      </c>
      <c r="J30" s="59">
        <f t="shared" si="2"/>
        <v>0</v>
      </c>
    </row>
    <row r="31" spans="1:10" ht="17" thickTop="1"/>
  </sheetData>
  <mergeCells count="1">
    <mergeCell ref="A1:J1"/>
  </mergeCell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8EC2-BF03-6147-8194-A4539FC678F4}">
  <sheetPr codeName="Sheet2">
    <tabColor theme="7"/>
  </sheetPr>
  <dimension ref="A1:K35"/>
  <sheetViews>
    <sheetView topLeftCell="A21" zoomScale="139" workbookViewId="0">
      <selection activeCell="E34" sqref="E34"/>
    </sheetView>
  </sheetViews>
  <sheetFormatPr baseColWidth="10" defaultColWidth="10.83203125" defaultRowHeight="16"/>
  <cols>
    <col min="1" max="1" width="20.1640625" bestFit="1" customWidth="1"/>
    <col min="7" max="8" width="10.83203125" bestFit="1" customWidth="1"/>
    <col min="11" max="11" width="4.5" customWidth="1"/>
    <col min="12" max="12" width="11.6640625" customWidth="1"/>
  </cols>
  <sheetData>
    <row r="1" spans="1:10">
      <c r="A1" s="15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15"/>
      <c r="B2" s="15"/>
      <c r="C2" s="15"/>
      <c r="D2" s="15"/>
      <c r="E2" s="15"/>
      <c r="F2" s="15"/>
      <c r="G2" s="15"/>
      <c r="H2" s="15"/>
      <c r="I2" s="15"/>
      <c r="J2" s="15"/>
    </row>
    <row r="4" spans="1:10" ht="17">
      <c r="A4" s="118" t="s">
        <v>70</v>
      </c>
      <c r="B4" s="119" t="s">
        <v>13</v>
      </c>
      <c r="C4" s="119" t="s">
        <v>14</v>
      </c>
      <c r="D4" s="119" t="s">
        <v>15</v>
      </c>
      <c r="E4" s="119" t="s">
        <v>16</v>
      </c>
      <c r="F4" s="119" t="s">
        <v>17</v>
      </c>
      <c r="G4" s="119" t="s">
        <v>18</v>
      </c>
      <c r="H4" s="119" t="s">
        <v>19</v>
      </c>
      <c r="I4" s="119" t="s">
        <v>116</v>
      </c>
      <c r="J4" s="120" t="s">
        <v>20</v>
      </c>
    </row>
    <row r="5" spans="1:10" ht="18">
      <c r="A5" s="23" t="s">
        <v>114</v>
      </c>
      <c r="B5" s="3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8" t="s">
        <v>113</v>
      </c>
      <c r="H5" s="8" t="s">
        <v>113</v>
      </c>
      <c r="I5" s="3" t="b">
        <v>0</v>
      </c>
      <c r="J5" s="4" t="b">
        <v>0</v>
      </c>
    </row>
    <row r="6" spans="1:10" ht="18">
      <c r="A6" s="23" t="s">
        <v>115</v>
      </c>
      <c r="B6" s="3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8" t="s">
        <v>113</v>
      </c>
      <c r="H6" s="8" t="s">
        <v>113</v>
      </c>
      <c r="I6" s="3" t="b">
        <v>0</v>
      </c>
      <c r="J6" s="4" t="b">
        <v>0</v>
      </c>
    </row>
    <row r="7" spans="1:10" ht="18">
      <c r="A7" s="23" t="s">
        <v>71</v>
      </c>
      <c r="B7" s="3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8" t="s">
        <v>113</v>
      </c>
      <c r="I7" s="3" t="b">
        <v>0</v>
      </c>
      <c r="J7" s="4" t="b">
        <v>0</v>
      </c>
    </row>
    <row r="8" spans="1:10" ht="18">
      <c r="A8" s="23" t="s">
        <v>72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8" t="s">
        <v>113</v>
      </c>
      <c r="H8" s="8" t="s">
        <v>113</v>
      </c>
      <c r="I8" s="3" t="b">
        <v>0</v>
      </c>
      <c r="J8" s="4" t="b">
        <v>0</v>
      </c>
    </row>
    <row r="9" spans="1:10" ht="18">
      <c r="A9" s="23" t="s">
        <v>73</v>
      </c>
      <c r="B9" s="3" t="b">
        <v>0</v>
      </c>
      <c r="C9" s="3" t="b">
        <v>0</v>
      </c>
      <c r="D9" s="3" t="b">
        <v>0</v>
      </c>
      <c r="E9" s="4" t="b">
        <v>0</v>
      </c>
      <c r="F9" s="8" t="s">
        <v>113</v>
      </c>
      <c r="G9" s="5" t="s">
        <v>113</v>
      </c>
      <c r="H9" s="5" t="s">
        <v>113</v>
      </c>
      <c r="I9" s="8" t="s">
        <v>113</v>
      </c>
      <c r="J9" s="116" t="s">
        <v>113</v>
      </c>
    </row>
    <row r="10" spans="1:10" ht="18">
      <c r="A10" s="23" t="s">
        <v>74</v>
      </c>
      <c r="B10" s="3" t="b">
        <v>0</v>
      </c>
      <c r="C10" s="3" t="b">
        <v>0</v>
      </c>
      <c r="D10" s="3" t="b">
        <v>0</v>
      </c>
      <c r="E10" s="4" t="b">
        <v>0</v>
      </c>
      <c r="F10" s="8" t="s">
        <v>113</v>
      </c>
      <c r="G10" s="5" t="s">
        <v>113</v>
      </c>
      <c r="H10" s="5" t="s">
        <v>113</v>
      </c>
      <c r="I10" s="8" t="s">
        <v>113</v>
      </c>
      <c r="J10" s="116" t="s">
        <v>113</v>
      </c>
    </row>
    <row r="11" spans="1:10" ht="17">
      <c r="A11" s="115" t="s">
        <v>121</v>
      </c>
      <c r="B11" s="3" t="b">
        <v>0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  <c r="I11" s="3" t="b">
        <v>0</v>
      </c>
      <c r="J11" s="4" t="b">
        <v>0</v>
      </c>
    </row>
    <row r="12" spans="1:10" ht="18">
      <c r="A12" s="23" t="s">
        <v>96</v>
      </c>
      <c r="B12" s="3" t="b">
        <v>0</v>
      </c>
      <c r="C12" s="3" t="b">
        <v>0</v>
      </c>
      <c r="D12" s="4" t="b">
        <v>0</v>
      </c>
      <c r="E12" s="3" t="b">
        <v>0</v>
      </c>
      <c r="F12" s="8" t="s">
        <v>113</v>
      </c>
      <c r="G12" s="8" t="s">
        <v>113</v>
      </c>
      <c r="H12" s="8" t="s">
        <v>113</v>
      </c>
      <c r="I12" s="8" t="s">
        <v>113</v>
      </c>
      <c r="J12" s="116" t="s">
        <v>113</v>
      </c>
    </row>
    <row r="13" spans="1:10" ht="18">
      <c r="A13" s="23" t="s">
        <v>97</v>
      </c>
      <c r="B13" s="3" t="b">
        <v>0</v>
      </c>
      <c r="C13" s="3" t="b">
        <v>0</v>
      </c>
      <c r="D13" s="4" t="b">
        <v>0</v>
      </c>
      <c r="E13" s="8" t="s">
        <v>113</v>
      </c>
      <c r="F13" s="8" t="s">
        <v>113</v>
      </c>
      <c r="G13" s="8" t="s">
        <v>113</v>
      </c>
      <c r="H13" s="8" t="s">
        <v>113</v>
      </c>
      <c r="I13" s="8" t="s">
        <v>113</v>
      </c>
      <c r="J13" s="4" t="b">
        <v>0</v>
      </c>
    </row>
    <row r="14" spans="1:10" ht="18">
      <c r="A14" s="23" t="s">
        <v>98</v>
      </c>
      <c r="B14" s="3" t="b">
        <v>0</v>
      </c>
      <c r="C14" s="3" t="b">
        <v>0</v>
      </c>
      <c r="D14" s="4" t="b">
        <v>0</v>
      </c>
      <c r="E14" s="7" t="s">
        <v>113</v>
      </c>
      <c r="F14" s="7" t="s">
        <v>113</v>
      </c>
      <c r="G14" s="7" t="s">
        <v>113</v>
      </c>
      <c r="H14" s="8" t="s">
        <v>113</v>
      </c>
      <c r="I14" s="8" t="s">
        <v>113</v>
      </c>
      <c r="J14" s="116" t="s">
        <v>113</v>
      </c>
    </row>
    <row r="15" spans="1:10" ht="18">
      <c r="A15" s="23" t="s">
        <v>99</v>
      </c>
      <c r="B15" s="3" t="b">
        <v>0</v>
      </c>
      <c r="C15" s="3" t="b">
        <v>0</v>
      </c>
      <c r="D15" s="4" t="b">
        <v>0</v>
      </c>
      <c r="E15" s="7" t="s">
        <v>113</v>
      </c>
      <c r="F15" s="7" t="s">
        <v>113</v>
      </c>
      <c r="G15" s="7" t="s">
        <v>113</v>
      </c>
      <c r="H15" s="7" t="s">
        <v>113</v>
      </c>
      <c r="I15" s="8" t="s">
        <v>113</v>
      </c>
      <c r="J15" s="116" t="s">
        <v>113</v>
      </c>
    </row>
    <row r="16" spans="1:10" ht="18">
      <c r="A16" s="23" t="s">
        <v>104</v>
      </c>
      <c r="B16" s="3" t="b">
        <v>0</v>
      </c>
      <c r="C16" s="3" t="b">
        <v>0</v>
      </c>
      <c r="D16" s="4" t="b">
        <v>0</v>
      </c>
      <c r="E16" s="7" t="s">
        <v>113</v>
      </c>
      <c r="F16" s="7" t="s">
        <v>113</v>
      </c>
      <c r="G16" s="7" t="s">
        <v>113</v>
      </c>
      <c r="H16" s="7" t="s">
        <v>113</v>
      </c>
      <c r="I16" s="8" t="s">
        <v>113</v>
      </c>
      <c r="J16" s="116" t="s">
        <v>113</v>
      </c>
    </row>
    <row r="17" spans="1:11" ht="18">
      <c r="A17" s="23" t="s">
        <v>100</v>
      </c>
      <c r="B17" s="3" t="b">
        <v>0</v>
      </c>
      <c r="C17" s="3" t="b">
        <v>0</v>
      </c>
      <c r="D17" s="4" t="b">
        <v>0</v>
      </c>
      <c r="E17" s="7" t="s">
        <v>113</v>
      </c>
      <c r="F17" s="7" t="s">
        <v>113</v>
      </c>
      <c r="G17" s="7" t="s">
        <v>113</v>
      </c>
      <c r="H17" s="7" t="s">
        <v>113</v>
      </c>
      <c r="I17" s="8" t="s">
        <v>113</v>
      </c>
      <c r="J17" s="116" t="s">
        <v>113</v>
      </c>
    </row>
    <row r="18" spans="1:11" ht="18">
      <c r="A18" s="23" t="s">
        <v>105</v>
      </c>
      <c r="B18" s="3" t="b">
        <v>0</v>
      </c>
      <c r="C18" s="3" t="b">
        <v>0</v>
      </c>
      <c r="D18" s="3" t="b">
        <v>0</v>
      </c>
      <c r="E18" s="3" t="b">
        <v>0</v>
      </c>
      <c r="F18" s="3" t="b">
        <v>0</v>
      </c>
      <c r="G18" s="7" t="s">
        <v>113</v>
      </c>
      <c r="H18" s="7" t="s">
        <v>113</v>
      </c>
      <c r="I18" s="3" t="b">
        <v>0</v>
      </c>
      <c r="J18" s="4" t="b">
        <v>0</v>
      </c>
    </row>
    <row r="19" spans="1:11" ht="18">
      <c r="A19" s="23" t="s">
        <v>106</v>
      </c>
      <c r="B19" s="3" t="b">
        <v>0</v>
      </c>
      <c r="C19" s="3" t="b">
        <v>0</v>
      </c>
      <c r="D19" s="3" t="b">
        <v>0</v>
      </c>
      <c r="E19" s="3" t="b">
        <v>0</v>
      </c>
      <c r="F19" s="3" t="b">
        <v>0</v>
      </c>
      <c r="G19" s="7" t="s">
        <v>113</v>
      </c>
      <c r="H19" s="7" t="s">
        <v>113</v>
      </c>
      <c r="I19" s="3" t="b">
        <v>0</v>
      </c>
      <c r="J19" s="4" t="b">
        <v>0</v>
      </c>
    </row>
    <row r="20" spans="1:11" ht="18">
      <c r="A20" s="23" t="s">
        <v>107</v>
      </c>
      <c r="B20" s="3" t="b">
        <v>0</v>
      </c>
      <c r="C20" s="3" t="b">
        <v>0</v>
      </c>
      <c r="D20" s="3" t="b">
        <v>0</v>
      </c>
      <c r="E20" s="4" t="b">
        <v>0</v>
      </c>
      <c r="F20" s="7" t="s">
        <v>113</v>
      </c>
      <c r="G20" s="7" t="s">
        <v>113</v>
      </c>
      <c r="H20" s="7" t="s">
        <v>113</v>
      </c>
      <c r="I20" s="3" t="b">
        <v>0</v>
      </c>
      <c r="J20" s="116" t="s">
        <v>113</v>
      </c>
    </row>
    <row r="21" spans="1:11" ht="18">
      <c r="A21" s="23" t="s">
        <v>108</v>
      </c>
      <c r="B21" s="3" t="b">
        <v>0</v>
      </c>
      <c r="C21" s="3" t="b">
        <v>0</v>
      </c>
      <c r="D21" s="3" t="b">
        <v>0</v>
      </c>
      <c r="E21" s="4" t="b">
        <v>0</v>
      </c>
      <c r="F21" s="7" t="s">
        <v>113</v>
      </c>
      <c r="G21" s="7" t="s">
        <v>113</v>
      </c>
      <c r="H21" s="7" t="s">
        <v>113</v>
      </c>
      <c r="I21" s="3" t="b">
        <v>0</v>
      </c>
      <c r="J21" s="116" t="s">
        <v>113</v>
      </c>
    </row>
    <row r="22" spans="1:11" ht="18">
      <c r="A22" s="23" t="s">
        <v>109</v>
      </c>
      <c r="B22" s="3" t="b">
        <v>0</v>
      </c>
      <c r="C22" s="3" t="b">
        <v>0</v>
      </c>
      <c r="D22" s="3" t="b">
        <v>0</v>
      </c>
      <c r="E22" s="4" t="b">
        <v>0</v>
      </c>
      <c r="F22" s="7" t="s">
        <v>113</v>
      </c>
      <c r="G22" s="7" t="s">
        <v>113</v>
      </c>
      <c r="H22" s="7" t="s">
        <v>113</v>
      </c>
      <c r="I22" s="3" t="b">
        <v>0</v>
      </c>
      <c r="J22" s="116" t="s">
        <v>113</v>
      </c>
    </row>
    <row r="23" spans="1:11" ht="18">
      <c r="A23" s="23" t="s">
        <v>110</v>
      </c>
      <c r="B23" s="3" t="b">
        <v>0</v>
      </c>
      <c r="C23" s="3" t="b">
        <v>0</v>
      </c>
      <c r="D23" s="3" t="b">
        <v>0</v>
      </c>
      <c r="E23" s="4" t="b">
        <v>0</v>
      </c>
      <c r="F23" s="7" t="s">
        <v>113</v>
      </c>
      <c r="G23" s="7" t="s">
        <v>113</v>
      </c>
      <c r="H23" s="7" t="s">
        <v>113</v>
      </c>
      <c r="I23" s="3" t="b">
        <v>0</v>
      </c>
      <c r="J23" s="116" t="s">
        <v>113</v>
      </c>
    </row>
    <row r="24" spans="1:11" ht="18">
      <c r="A24" s="23" t="s">
        <v>117</v>
      </c>
      <c r="B24" s="3" t="b">
        <v>0</v>
      </c>
      <c r="C24" s="3" t="b">
        <v>0</v>
      </c>
      <c r="D24" s="3" t="b">
        <v>0</v>
      </c>
      <c r="E24" s="3" t="b">
        <v>0</v>
      </c>
      <c r="F24" s="3" t="b">
        <v>0</v>
      </c>
      <c r="G24" s="7" t="s">
        <v>113</v>
      </c>
      <c r="H24" s="7" t="s">
        <v>113</v>
      </c>
      <c r="I24" s="3" t="b">
        <v>0</v>
      </c>
      <c r="J24" s="4" t="b">
        <v>0</v>
      </c>
    </row>
    <row r="25" spans="1:11" ht="18">
      <c r="A25" s="23" t="s">
        <v>101</v>
      </c>
      <c r="B25" s="3" t="b">
        <v>0</v>
      </c>
      <c r="C25" s="3" t="b">
        <v>0</v>
      </c>
      <c r="D25" s="3" t="b">
        <v>0</v>
      </c>
      <c r="E25" s="3" t="b">
        <v>0</v>
      </c>
      <c r="F25" s="3" t="b">
        <v>0</v>
      </c>
      <c r="G25" s="7" t="s">
        <v>113</v>
      </c>
      <c r="H25" s="7" t="s">
        <v>113</v>
      </c>
      <c r="I25" s="3" t="b">
        <v>0</v>
      </c>
      <c r="J25" s="4" t="b">
        <v>0</v>
      </c>
    </row>
    <row r="26" spans="1:11" ht="18">
      <c r="A26" s="23" t="s">
        <v>102</v>
      </c>
      <c r="B26" s="3" t="b">
        <v>0</v>
      </c>
      <c r="C26" s="3" t="b">
        <v>0</v>
      </c>
      <c r="D26" s="3" t="b">
        <v>0</v>
      </c>
      <c r="E26" s="3" t="b">
        <v>0</v>
      </c>
      <c r="F26" s="3" t="b">
        <v>0</v>
      </c>
      <c r="G26" s="7" t="s">
        <v>113</v>
      </c>
      <c r="H26" s="7" t="s">
        <v>113</v>
      </c>
      <c r="I26" s="3" t="b">
        <v>0</v>
      </c>
      <c r="J26" s="4" t="b">
        <v>0</v>
      </c>
    </row>
    <row r="27" spans="1:11" ht="18">
      <c r="A27" s="24" t="s">
        <v>103</v>
      </c>
      <c r="B27" s="21" t="b">
        <v>0</v>
      </c>
      <c r="C27" s="21" t="b">
        <v>0</v>
      </c>
      <c r="D27" s="21" t="b">
        <v>0</v>
      </c>
      <c r="E27" s="22" t="s">
        <v>113</v>
      </c>
      <c r="F27" s="22" t="s">
        <v>113</v>
      </c>
      <c r="G27" s="22" t="s">
        <v>113</v>
      </c>
      <c r="H27" s="22" t="s">
        <v>113</v>
      </c>
      <c r="I27" s="21" t="b">
        <v>0</v>
      </c>
      <c r="J27" s="26" t="b">
        <v>0</v>
      </c>
    </row>
    <row r="28" spans="1:11">
      <c r="A28" s="117" t="s">
        <v>12</v>
      </c>
      <c r="B28" s="125">
        <f>COUNTIF(B5:B27,TRUE)</f>
        <v>0</v>
      </c>
      <c r="C28" s="125">
        <f t="shared" ref="C28:J28" si="0">COUNTIF(C5:C27,TRUE)</f>
        <v>0</v>
      </c>
      <c r="D28" s="125">
        <f t="shared" si="0"/>
        <v>0</v>
      </c>
      <c r="E28" s="125">
        <f t="shared" si="0"/>
        <v>0</v>
      </c>
      <c r="F28" s="125">
        <f t="shared" si="0"/>
        <v>0</v>
      </c>
      <c r="G28" s="125">
        <f t="shared" si="0"/>
        <v>0</v>
      </c>
      <c r="H28" s="125">
        <f t="shared" si="0"/>
        <v>0</v>
      </c>
      <c r="I28" s="125">
        <f t="shared" si="0"/>
        <v>0</v>
      </c>
      <c r="J28" s="126">
        <f t="shared" si="0"/>
        <v>0</v>
      </c>
      <c r="K28" s="20">
        <f>SUM(B28:J28)</f>
        <v>0</v>
      </c>
    </row>
    <row r="30" spans="1:11" ht="17">
      <c r="A30" s="121" t="s">
        <v>122</v>
      </c>
      <c r="B30" s="122" t="s">
        <v>116</v>
      </c>
    </row>
    <row r="31" spans="1:11" ht="17">
      <c r="A31" s="1" t="s">
        <v>123</v>
      </c>
      <c r="B31" s="123" t="b">
        <v>0</v>
      </c>
    </row>
    <row r="32" spans="1:11" ht="17">
      <c r="A32" s="1" t="s">
        <v>124</v>
      </c>
      <c r="B32" s="3" t="b">
        <v>0</v>
      </c>
    </row>
    <row r="33" spans="1:2" ht="17">
      <c r="A33" s="1" t="s">
        <v>125</v>
      </c>
      <c r="B33" s="123" t="b">
        <v>0</v>
      </c>
    </row>
    <row r="34" spans="1:2" ht="17">
      <c r="A34" s="1" t="s">
        <v>126</v>
      </c>
      <c r="B34" s="3" t="b">
        <v>0</v>
      </c>
    </row>
    <row r="35" spans="1:2">
      <c r="A35" s="124" t="s">
        <v>127</v>
      </c>
      <c r="B35" s="127">
        <f>COUNTIF(B31:B34,TRUE)</f>
        <v>0</v>
      </c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65E87-F8CC-9647-A162-19CEEBC743F4}">
  <sheetPr codeName="Sheet3">
    <tabColor rgb="FF7030A0"/>
  </sheetPr>
  <dimension ref="A1:N8"/>
  <sheetViews>
    <sheetView topLeftCell="B1" zoomScale="176" workbookViewId="0">
      <selection activeCell="G3" sqref="G3:K3"/>
    </sheetView>
  </sheetViews>
  <sheetFormatPr baseColWidth="10" defaultColWidth="10.83203125" defaultRowHeight="16"/>
  <cols>
    <col min="1" max="1" width="13.6640625" customWidth="1"/>
  </cols>
  <sheetData>
    <row r="1" spans="1:14" ht="17">
      <c r="A1" s="129" t="s">
        <v>80</v>
      </c>
      <c r="B1" s="130" t="s">
        <v>86</v>
      </c>
      <c r="C1" s="130" t="s">
        <v>87</v>
      </c>
      <c r="D1" s="130" t="s">
        <v>88</v>
      </c>
      <c r="E1" s="130" t="s">
        <v>89</v>
      </c>
      <c r="F1" s="130" t="s">
        <v>90</v>
      </c>
      <c r="G1" s="130" t="s">
        <v>91</v>
      </c>
      <c r="H1" s="130" t="s">
        <v>92</v>
      </c>
      <c r="I1" s="130" t="s">
        <v>93</v>
      </c>
      <c r="J1" s="130" t="s">
        <v>94</v>
      </c>
      <c r="K1" s="130" t="s">
        <v>95</v>
      </c>
      <c r="L1" s="130" t="s">
        <v>118</v>
      </c>
      <c r="M1" s="130" t="s">
        <v>119</v>
      </c>
    </row>
    <row r="2" spans="1:14" ht="18">
      <c r="A2" s="1" t="s">
        <v>81</v>
      </c>
      <c r="B2" s="131" t="b">
        <v>0</v>
      </c>
      <c r="C2" s="131" t="b">
        <v>0</v>
      </c>
      <c r="D2" s="131" t="b">
        <v>0</v>
      </c>
      <c r="E2" s="131" t="b">
        <v>0</v>
      </c>
      <c r="F2" s="131" t="b">
        <v>0</v>
      </c>
      <c r="G2" s="132" t="s">
        <v>113</v>
      </c>
      <c r="H2" s="132" t="s">
        <v>113</v>
      </c>
      <c r="I2" s="132" t="s">
        <v>113</v>
      </c>
      <c r="J2" s="132" t="s">
        <v>113</v>
      </c>
      <c r="K2" s="132" t="s">
        <v>113</v>
      </c>
      <c r="L2" s="132" t="s">
        <v>113</v>
      </c>
      <c r="M2" s="132" t="s">
        <v>113</v>
      </c>
    </row>
    <row r="3" spans="1:14" ht="18">
      <c r="A3" s="1" t="s">
        <v>82</v>
      </c>
      <c r="B3" s="131" t="b">
        <v>0</v>
      </c>
      <c r="C3" s="131" t="b">
        <v>0</v>
      </c>
      <c r="D3" s="131" t="b">
        <v>0</v>
      </c>
      <c r="E3" s="131" t="b">
        <v>0</v>
      </c>
      <c r="F3" s="131" t="b">
        <v>0</v>
      </c>
      <c r="G3" s="131" t="b">
        <v>0</v>
      </c>
      <c r="H3" s="131" t="b">
        <v>0</v>
      </c>
      <c r="I3" s="131" t="b">
        <v>0</v>
      </c>
      <c r="J3" s="131" t="b">
        <v>0</v>
      </c>
      <c r="K3" s="131" t="b">
        <v>0</v>
      </c>
      <c r="L3" s="132" t="s">
        <v>113</v>
      </c>
      <c r="M3" s="132" t="s">
        <v>113</v>
      </c>
    </row>
    <row r="4" spans="1:14" ht="18">
      <c r="A4" s="1" t="s">
        <v>83</v>
      </c>
      <c r="B4" s="131" t="b">
        <v>0</v>
      </c>
      <c r="C4" s="131" t="b">
        <v>0</v>
      </c>
      <c r="D4" s="131" t="b">
        <v>0</v>
      </c>
      <c r="E4" s="131" t="b">
        <v>0</v>
      </c>
      <c r="F4" s="131" t="b">
        <v>0</v>
      </c>
      <c r="G4" s="131" t="b">
        <v>0</v>
      </c>
      <c r="H4" s="131" t="b">
        <v>0</v>
      </c>
      <c r="I4" s="131" t="b">
        <v>0</v>
      </c>
      <c r="J4" s="132" t="s">
        <v>113</v>
      </c>
      <c r="K4" s="132" t="s">
        <v>113</v>
      </c>
      <c r="L4" s="132" t="s">
        <v>113</v>
      </c>
      <c r="M4" s="132" t="s">
        <v>113</v>
      </c>
      <c r="N4" s="14"/>
    </row>
    <row r="5" spans="1:14" ht="17">
      <c r="A5" s="1" t="s">
        <v>84</v>
      </c>
      <c r="B5" s="131" t="b">
        <v>0</v>
      </c>
      <c r="C5" s="131" t="b">
        <v>0</v>
      </c>
      <c r="D5" s="131" t="b">
        <v>0</v>
      </c>
      <c r="E5" s="131" t="b">
        <v>0</v>
      </c>
      <c r="F5" s="131" t="b">
        <v>0</v>
      </c>
      <c r="G5" s="131" t="b">
        <v>0</v>
      </c>
      <c r="H5" s="131" t="b">
        <v>0</v>
      </c>
      <c r="I5" s="131" t="b">
        <v>0</v>
      </c>
      <c r="J5" s="131" t="b">
        <v>0</v>
      </c>
      <c r="K5" s="131" t="b">
        <v>0</v>
      </c>
      <c r="L5" s="131" t="b">
        <v>0</v>
      </c>
      <c r="M5" s="131" t="b">
        <v>0</v>
      </c>
    </row>
    <row r="6" spans="1:14" ht="18">
      <c r="A6" s="1" t="s">
        <v>85</v>
      </c>
      <c r="B6" s="131" t="b">
        <v>0</v>
      </c>
      <c r="C6" s="131" t="b">
        <v>0</v>
      </c>
      <c r="D6" s="131" t="b">
        <v>0</v>
      </c>
      <c r="E6" s="131" t="b">
        <v>0</v>
      </c>
      <c r="F6" s="132" t="s">
        <v>113</v>
      </c>
      <c r="G6" s="132" t="s">
        <v>113</v>
      </c>
      <c r="H6" s="132" t="s">
        <v>113</v>
      </c>
      <c r="I6" s="132" t="s">
        <v>113</v>
      </c>
      <c r="J6" s="132" t="s">
        <v>113</v>
      </c>
      <c r="K6" s="132" t="s">
        <v>113</v>
      </c>
      <c r="L6" s="132" t="s">
        <v>113</v>
      </c>
      <c r="M6" s="132" t="s">
        <v>113</v>
      </c>
    </row>
    <row r="7" spans="1:14" ht="17" thickBot="1">
      <c r="A7" s="38" t="s">
        <v>12</v>
      </c>
      <c r="B7" s="128">
        <f>COUNTIF(B2:B6,TRUE)</f>
        <v>0</v>
      </c>
      <c r="C7" s="128">
        <f t="shared" ref="C7:M7" si="0">COUNTIF(C2:C6,TRUE)</f>
        <v>0</v>
      </c>
      <c r="D7" s="128">
        <f t="shared" si="0"/>
        <v>0</v>
      </c>
      <c r="E7" s="128">
        <f t="shared" si="0"/>
        <v>0</v>
      </c>
      <c r="F7" s="128">
        <f t="shared" si="0"/>
        <v>0</v>
      </c>
      <c r="G7" s="128">
        <f t="shared" si="0"/>
        <v>0</v>
      </c>
      <c r="H7" s="128">
        <f t="shared" si="0"/>
        <v>0</v>
      </c>
      <c r="I7" s="128">
        <f t="shared" si="0"/>
        <v>0</v>
      </c>
      <c r="J7" s="128">
        <f t="shared" si="0"/>
        <v>0</v>
      </c>
      <c r="K7" s="128">
        <f t="shared" si="0"/>
        <v>0</v>
      </c>
      <c r="L7" s="128">
        <f t="shared" si="0"/>
        <v>0</v>
      </c>
      <c r="M7" s="128">
        <f t="shared" si="0"/>
        <v>0</v>
      </c>
      <c r="N7" s="17">
        <f>SUM(B7:K7)</f>
        <v>0</v>
      </c>
    </row>
    <row r="8" spans="1:14" ht="17" thickTop="1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F569-039D-654E-A8AE-3D1E6E0EACC2}">
  <sheetPr>
    <tabColor theme="3"/>
  </sheetPr>
  <dimension ref="A1:J18"/>
  <sheetViews>
    <sheetView tabSelected="1" zoomScale="150" zoomScaleNormal="150" workbookViewId="0">
      <selection activeCell="J8" sqref="J8"/>
    </sheetView>
  </sheetViews>
  <sheetFormatPr baseColWidth="10" defaultRowHeight="16"/>
  <cols>
    <col min="1" max="1" width="27.1640625" bestFit="1" customWidth="1"/>
    <col min="2" max="2" width="10.5" bestFit="1" customWidth="1"/>
    <col min="3" max="3" width="5.83203125" customWidth="1"/>
    <col min="4" max="4" width="29.83203125" bestFit="1" customWidth="1"/>
    <col min="5" max="5" width="14.5" customWidth="1"/>
    <col min="6" max="6" width="5.83203125" customWidth="1"/>
    <col min="7" max="7" width="23.83203125" customWidth="1"/>
    <col min="8" max="8" width="10.1640625" bestFit="1" customWidth="1"/>
    <col min="9" max="9" width="10.6640625" bestFit="1" customWidth="1"/>
    <col min="10" max="10" width="7.5" bestFit="1" customWidth="1"/>
  </cols>
  <sheetData>
    <row r="1" spans="1:10" ht="44" customHeight="1">
      <c r="A1" s="143" t="s">
        <v>148</v>
      </c>
      <c r="B1" s="143"/>
      <c r="C1" s="143"/>
      <c r="D1" s="143"/>
      <c r="E1" s="143"/>
      <c r="F1" s="143"/>
      <c r="G1" s="143"/>
      <c r="H1" s="143"/>
      <c r="I1" s="143"/>
      <c r="J1" s="143"/>
    </row>
    <row r="2" spans="1:10" ht="23" customHeight="1">
      <c r="A2" s="142" t="s">
        <v>112</v>
      </c>
      <c r="B2" s="142"/>
      <c r="D2" s="142" t="s">
        <v>135</v>
      </c>
      <c r="E2" s="142"/>
      <c r="G2" s="142" t="s">
        <v>140</v>
      </c>
      <c r="H2" s="142"/>
      <c r="I2" s="142"/>
      <c r="J2" s="142"/>
    </row>
    <row r="3" spans="1:10" ht="22">
      <c r="A3" s="86" t="s">
        <v>0</v>
      </c>
      <c r="B3" s="78">
        <f>SUM(בראשית!C15:'בראשית'!I15)</f>
        <v>0</v>
      </c>
      <c r="D3" s="86" t="s">
        <v>0</v>
      </c>
      <c r="E3" s="85">
        <f>B11/I4</f>
        <v>0</v>
      </c>
      <c r="G3" s="110" t="s">
        <v>147</v>
      </c>
      <c r="H3" s="111" t="s">
        <v>142</v>
      </c>
      <c r="I3" s="111" t="s">
        <v>141</v>
      </c>
      <c r="J3" s="111" t="s">
        <v>136</v>
      </c>
    </row>
    <row r="4" spans="1:10" ht="22">
      <c r="A4" s="86" t="s">
        <v>21</v>
      </c>
      <c r="B4" s="80">
        <f>SUM(שמות!C15:'שמות'!I15)</f>
        <v>0</v>
      </c>
      <c r="D4" s="86" t="s">
        <v>21</v>
      </c>
      <c r="E4" s="87">
        <f t="shared" ref="E4:E7" si="0">B12/I5</f>
        <v>0</v>
      </c>
      <c r="G4" s="77" t="s">
        <v>143</v>
      </c>
      <c r="H4" s="75">
        <f>COUNTA(בראשית!A3:A14)</f>
        <v>12</v>
      </c>
      <c r="I4" s="91">
        <f>SUM(בראשית!C18:I29)</f>
        <v>1521</v>
      </c>
      <c r="J4" s="78">
        <f>H4*7</f>
        <v>84</v>
      </c>
    </row>
    <row r="5" spans="1:10" ht="22">
      <c r="A5" s="86" t="s">
        <v>33</v>
      </c>
      <c r="B5" s="78">
        <f>SUM(ויקרא!C16:'ויקרא'!I16)</f>
        <v>0</v>
      </c>
      <c r="D5" s="86" t="s">
        <v>33</v>
      </c>
      <c r="E5" s="85">
        <f t="shared" si="0"/>
        <v>0</v>
      </c>
      <c r="G5" s="79" t="s">
        <v>144</v>
      </c>
      <c r="H5" s="76">
        <f>COUNTA(שמות!A3:A13)</f>
        <v>11</v>
      </c>
      <c r="I5" s="91">
        <f>SUM(שמות!C18:I29)</f>
        <v>1434</v>
      </c>
      <c r="J5" s="80">
        <f>H5*7</f>
        <v>77</v>
      </c>
    </row>
    <row r="6" spans="1:10" ht="22">
      <c r="A6" s="86" t="s">
        <v>46</v>
      </c>
      <c r="B6" s="80">
        <f>SUM(במדבר!C15:'במדבר'!I15)</f>
        <v>0</v>
      </c>
      <c r="D6" s="86" t="s">
        <v>46</v>
      </c>
      <c r="E6" s="87">
        <f t="shared" si="0"/>
        <v>0</v>
      </c>
      <c r="G6" s="79" t="s">
        <v>33</v>
      </c>
      <c r="H6" s="75">
        <f>COUNTA(ויקרא!A3:A14)-2</f>
        <v>10</v>
      </c>
      <c r="I6" s="91">
        <f>SUM(ויקרא!C19:I31)</f>
        <v>1307</v>
      </c>
      <c r="J6" s="78">
        <f>H6*7</f>
        <v>70</v>
      </c>
    </row>
    <row r="7" spans="1:10" ht="22">
      <c r="A7" s="86" t="s">
        <v>58</v>
      </c>
      <c r="B7" s="78">
        <f>SUM(דברים!C15:'דברים'!I15)</f>
        <v>0</v>
      </c>
      <c r="D7" s="86" t="s">
        <v>58</v>
      </c>
      <c r="E7" s="85">
        <f t="shared" si="0"/>
        <v>0</v>
      </c>
      <c r="G7" s="79" t="s">
        <v>145</v>
      </c>
      <c r="H7" s="76">
        <f>COUNTA(במדבר!A3:A13)-1</f>
        <v>10</v>
      </c>
      <c r="I7" s="91">
        <f>SUM(במדבר!C18:I29)</f>
        <v>1746</v>
      </c>
      <c r="J7" s="80">
        <f>H7*7</f>
        <v>70</v>
      </c>
    </row>
    <row r="8" spans="1:10" ht="25" customHeight="1">
      <c r="A8" s="88" t="s">
        <v>127</v>
      </c>
      <c r="B8" s="89">
        <f>SUM(B3:B7)</f>
        <v>0</v>
      </c>
      <c r="D8" s="88" t="s">
        <v>127</v>
      </c>
      <c r="E8" s="87">
        <f>B16/I9</f>
        <v>0</v>
      </c>
      <c r="G8" s="79" t="s">
        <v>58</v>
      </c>
      <c r="H8" s="75">
        <f>COUNTA(דברים!A3:A14)-1</f>
        <v>11</v>
      </c>
      <c r="I8" s="91">
        <f>SUM(דברים!C18:I29)</f>
        <v>1026</v>
      </c>
      <c r="J8" s="78">
        <f>(H8*7)-1</f>
        <v>76</v>
      </c>
    </row>
    <row r="9" spans="1:10" ht="22">
      <c r="G9" s="81" t="s">
        <v>146</v>
      </c>
      <c r="H9" s="82">
        <f>SUM(H4:H8)</f>
        <v>54</v>
      </c>
      <c r="I9" s="92">
        <f>SUM(I4:I8)</f>
        <v>7034</v>
      </c>
      <c r="J9" s="83">
        <f>SUM(J4:J8)</f>
        <v>377</v>
      </c>
    </row>
    <row r="10" spans="1:10" ht="23" customHeight="1">
      <c r="A10" s="146" t="s">
        <v>138</v>
      </c>
      <c r="B10" s="147"/>
      <c r="D10" s="146" t="s">
        <v>134</v>
      </c>
      <c r="E10" s="147"/>
    </row>
    <row r="11" spans="1:10" ht="22">
      <c r="A11" s="86" t="s">
        <v>0</v>
      </c>
      <c r="B11" s="78">
        <f>SUM(בראשית!C30:I30)</f>
        <v>0</v>
      </c>
      <c r="D11" s="86" t="s">
        <v>0</v>
      </c>
      <c r="E11" s="85">
        <f>B3/J4</f>
        <v>0</v>
      </c>
      <c r="G11" s="144" t="s">
        <v>137</v>
      </c>
      <c r="H11" s="145"/>
    </row>
    <row r="12" spans="1:10" ht="22">
      <c r="A12" s="86" t="s">
        <v>21</v>
      </c>
      <c r="B12" s="80">
        <f>SUM(שמות!C30:'שמות'!I30)</f>
        <v>0</v>
      </c>
      <c r="D12" s="86" t="s">
        <v>21</v>
      </c>
      <c r="E12" s="87">
        <f t="shared" ref="E12:E14" si="1">B4/J5</f>
        <v>0</v>
      </c>
      <c r="G12" s="84" t="s">
        <v>111</v>
      </c>
      <c r="H12" s="80">
        <f>(COUNTIF(בראשית!B3:'בראשית'!B14,TRUE))+(COUNTIF(שמות!B3:'שמות'!B13,TRUE))+(COUNTIF(ויקרא!B3:'ויקרא'!B14,TRUE))+COUNTIF(במדבר!B3:B13,TRUE)+COUNTIF(דברים!B3:'דברים'!B14,TRUE)</f>
        <v>0</v>
      </c>
    </row>
    <row r="13" spans="1:10" ht="22">
      <c r="A13" s="86" t="s">
        <v>33</v>
      </c>
      <c r="B13" s="78">
        <f>SUM(ויקרא!C32:'ויקרא'!I32)</f>
        <v>0</v>
      </c>
      <c r="D13" s="86" t="s">
        <v>33</v>
      </c>
      <c r="E13" s="85">
        <f t="shared" si="1"/>
        <v>0</v>
      </c>
      <c r="G13" s="84" t="s">
        <v>139</v>
      </c>
      <c r="H13" s="85">
        <f>H12/H9</f>
        <v>0</v>
      </c>
    </row>
    <row r="14" spans="1:10" ht="22">
      <c r="A14" s="86" t="s">
        <v>46</v>
      </c>
      <c r="B14" s="80">
        <f>SUM(במדבר!C30:'במדבר'!I30)</f>
        <v>0</v>
      </c>
      <c r="D14" s="86" t="s">
        <v>46</v>
      </c>
      <c r="E14" s="87">
        <f t="shared" si="1"/>
        <v>0</v>
      </c>
    </row>
    <row r="15" spans="1:10" ht="22">
      <c r="A15" s="86" t="s">
        <v>58</v>
      </c>
      <c r="B15" s="78">
        <f>SUM(דברים!C30:'דברים'!I30)</f>
        <v>0</v>
      </c>
      <c r="D15" s="86" t="s">
        <v>58</v>
      </c>
      <c r="E15" s="85">
        <f>B7/J8</f>
        <v>0</v>
      </c>
    </row>
    <row r="16" spans="1:10" ht="22">
      <c r="A16" s="88" t="s">
        <v>127</v>
      </c>
      <c r="B16" s="90">
        <f>SUM(B11:B15)</f>
        <v>0</v>
      </c>
      <c r="D16" s="88" t="s">
        <v>133</v>
      </c>
      <c r="E16" s="87">
        <f>B8/J9</f>
        <v>0</v>
      </c>
    </row>
    <row r="18" spans="3:3">
      <c r="C18" s="11"/>
    </row>
  </sheetData>
  <mergeCells count="7">
    <mergeCell ref="G2:J2"/>
    <mergeCell ref="A1:J1"/>
    <mergeCell ref="G11:H11"/>
    <mergeCell ref="A2:B2"/>
    <mergeCell ref="A10:B10"/>
    <mergeCell ref="D2:E2"/>
    <mergeCell ref="D10:E10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בראשית</vt:lpstr>
      <vt:lpstr>שמות</vt:lpstr>
      <vt:lpstr>ויקרא</vt:lpstr>
      <vt:lpstr>במדבר</vt:lpstr>
      <vt:lpstr>דברים</vt:lpstr>
      <vt:lpstr>Additional Readings</vt:lpstr>
      <vt:lpstr>חמש מגילות</vt:lpstr>
      <vt:lpstr>Statistics</vt:lpstr>
      <vt:lpstr>Completion_Percentage_by_Aliyah</vt:lpstr>
      <vt:lpstr>Completion_Percentage_by_Pasuk</vt:lpstr>
      <vt:lpstr>Full_Parsha_Statistics</vt:lpstr>
      <vt:lpstr>Torah_Totals</vt:lpstr>
      <vt:lpstr>Total_Aliyot_COmpleted</vt:lpstr>
      <vt:lpstr>Total_Pesukim_Completed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Korman</dc:creator>
  <cp:lastModifiedBy>Joseph Korman</cp:lastModifiedBy>
  <dcterms:created xsi:type="dcterms:W3CDTF">2024-12-16T19:45:09Z</dcterms:created>
  <dcterms:modified xsi:type="dcterms:W3CDTF">2025-03-17T22:54:42Z</dcterms:modified>
</cp:coreProperties>
</file>