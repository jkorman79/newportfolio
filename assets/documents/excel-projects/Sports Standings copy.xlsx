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korman/Desktop/Excel Funsies/"/>
    </mc:Choice>
  </mc:AlternateContent>
  <xr:revisionPtr revIDLastSave="0" documentId="13_ncr:1_{B79F409A-85BE-2547-ACB6-A7849D0C59F6}" xr6:coauthVersionLast="47" xr6:coauthVersionMax="47" xr10:uidLastSave="{00000000-0000-0000-0000-000000000000}"/>
  <bookViews>
    <workbookView xWindow="0" yWindow="760" windowWidth="30240" windowHeight="17480" activeTab="2" xr2:uid="{B034E6E5-74DB-084C-8345-F7E7378814DB}"/>
  </bookViews>
  <sheets>
    <sheet name="Standings Without Ties" sheetId="2" r:id="rId1"/>
    <sheet name="Standings With Ties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4" i="2"/>
  <c r="H7" i="1"/>
  <c r="F9" i="1"/>
  <c r="F10" i="1"/>
  <c r="F6" i="1"/>
  <c r="F3" i="1"/>
  <c r="F4" i="1"/>
  <c r="F8" i="1"/>
  <c r="F5" i="1"/>
  <c r="F7" i="1"/>
  <c r="E5" i="2"/>
  <c r="E7" i="2"/>
  <c r="E3" i="2"/>
  <c r="E6" i="2"/>
  <c r="E4" i="2"/>
  <c r="H10" i="1"/>
  <c r="H6" i="1"/>
  <c r="H4" i="1"/>
  <c r="H8" i="1"/>
  <c r="H5" i="1"/>
  <c r="H9" i="1"/>
  <c r="G9" i="1"/>
  <c r="G10" i="1"/>
  <c r="G6" i="1"/>
  <c r="G3" i="1"/>
  <c r="G4" i="1"/>
  <c r="G8" i="1"/>
  <c r="G5" i="1"/>
  <c r="G7" i="1"/>
</calcChain>
</file>

<file path=xl/sharedStrings.xml><?xml version="1.0" encoding="utf-8"?>
<sst xmlns="http://schemas.openxmlformats.org/spreadsheetml/2006/main" count="35" uniqueCount="28">
  <si>
    <t>Standings</t>
  </si>
  <si>
    <t>W</t>
  </si>
  <si>
    <t>L</t>
  </si>
  <si>
    <t>PCT</t>
  </si>
  <si>
    <t>GB</t>
  </si>
  <si>
    <t>--</t>
  </si>
  <si>
    <t>Place</t>
  </si>
  <si>
    <t>Team</t>
  </si>
  <si>
    <t>TOR</t>
  </si>
  <si>
    <t>TBL</t>
  </si>
  <si>
    <t>DET</t>
  </si>
  <si>
    <t>BUF</t>
  </si>
  <si>
    <t>BOS</t>
  </si>
  <si>
    <t>OTT</t>
  </si>
  <si>
    <t>MTL</t>
  </si>
  <si>
    <t>FLA</t>
  </si>
  <si>
    <t>OTL</t>
  </si>
  <si>
    <t>PTS</t>
  </si>
  <si>
    <t>Tigers</t>
  </si>
  <si>
    <t>Royals</t>
  </si>
  <si>
    <t>White Sox</t>
  </si>
  <si>
    <t>Guardians</t>
  </si>
  <si>
    <t>Twins</t>
  </si>
  <si>
    <t>Baseball Scorecard</t>
  </si>
  <si>
    <t>Batter</t>
  </si>
  <si>
    <t>#</t>
  </si>
  <si>
    <t>POS</t>
  </si>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</sst>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8"/>
      <color theme="6"/>
      <name val="Aptos Display"/>
      <scheme val="maj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165" fontId="0" fillId="0" borderId="0" xfId="0" quotePrefix="1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/>
    <xf numFmtId="164" fontId="0" fillId="0" borderId="0" xfId="0" applyNumberFormat="1"/>
    <xf numFmtId="0" fontId="3" fillId="0" borderId="0" xfId="0" applyFont="1" applyBorder="1" applyAlignment="1">
      <alignment horizontal="center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9101-3F1E-8B43-8D55-BBB3D7D75282}">
  <dimension ref="A1:F12"/>
  <sheetViews>
    <sheetView zoomScale="322" workbookViewId="0">
      <selection activeCell="G3" sqref="G3"/>
    </sheetView>
  </sheetViews>
  <sheetFormatPr baseColWidth="10" defaultRowHeight="16" x14ac:dyDescent="0.2"/>
  <cols>
    <col min="1" max="1" width="5.6640625" bestFit="1" customWidth="1"/>
    <col min="2" max="2" width="9.6640625" bestFit="1" customWidth="1"/>
    <col min="3" max="5" width="6" customWidth="1"/>
    <col min="6" max="6" width="5.33203125" customWidth="1"/>
  </cols>
  <sheetData>
    <row r="1" spans="1:6" ht="24" x14ac:dyDescent="0.3">
      <c r="A1" s="13" t="s">
        <v>0</v>
      </c>
      <c r="B1" s="13"/>
      <c r="C1" s="13"/>
      <c r="D1" s="13"/>
      <c r="E1" s="13"/>
      <c r="F1" s="13"/>
    </row>
    <row r="2" spans="1:6" x14ac:dyDescent="0.2">
      <c r="A2" s="10" t="s">
        <v>6</v>
      </c>
      <c r="B2" s="16" t="s">
        <v>7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 s="9">
        <v>1</v>
      </c>
      <c r="B3" s="15" t="s">
        <v>21</v>
      </c>
      <c r="C3" s="5">
        <v>92</v>
      </c>
      <c r="D3" s="5">
        <v>69</v>
      </c>
      <c r="E3" s="1">
        <f>C3/SUM(C3:D3)</f>
        <v>0.5714285714285714</v>
      </c>
      <c r="F3" s="14" t="s">
        <v>5</v>
      </c>
    </row>
    <row r="4" spans="1:6" x14ac:dyDescent="0.2">
      <c r="A4" s="9">
        <v>2</v>
      </c>
      <c r="B4" s="15" t="s">
        <v>18</v>
      </c>
      <c r="C4" s="5">
        <v>86</v>
      </c>
      <c r="D4" s="5">
        <v>76</v>
      </c>
      <c r="E4" s="1">
        <f>C4/SUM(C4:D4)</f>
        <v>0.53086419753086422</v>
      </c>
      <c r="F4" s="14">
        <f>(($C$3-C4)+(D4-$D$3))/2</f>
        <v>6.5</v>
      </c>
    </row>
    <row r="5" spans="1:6" x14ac:dyDescent="0.2">
      <c r="A5" s="9">
        <v>3</v>
      </c>
      <c r="B5" s="15" t="s">
        <v>19</v>
      </c>
      <c r="C5" s="5">
        <v>86</v>
      </c>
      <c r="D5" s="5">
        <v>76</v>
      </c>
      <c r="E5" s="1">
        <f>C5/SUM(C5:D5)</f>
        <v>0.53086419753086422</v>
      </c>
      <c r="F5" s="14">
        <f t="shared" ref="F5:F7" si="0">(($C$3-C5)+(D5-$D$3))/2</f>
        <v>6.5</v>
      </c>
    </row>
    <row r="6" spans="1:6" x14ac:dyDescent="0.2">
      <c r="A6" s="9">
        <v>4</v>
      </c>
      <c r="B6" s="15" t="s">
        <v>22</v>
      </c>
      <c r="C6" s="5">
        <v>82</v>
      </c>
      <c r="D6" s="5">
        <v>80</v>
      </c>
      <c r="E6" s="1">
        <f>C6/SUM(C6:D6)</f>
        <v>0.50617283950617287</v>
      </c>
      <c r="F6" s="14">
        <f t="shared" si="0"/>
        <v>10.5</v>
      </c>
    </row>
    <row r="7" spans="1:6" x14ac:dyDescent="0.2">
      <c r="A7" s="9">
        <v>5</v>
      </c>
      <c r="B7" s="15" t="s">
        <v>20</v>
      </c>
      <c r="C7" s="5">
        <v>41</v>
      </c>
      <c r="D7" s="5">
        <v>121</v>
      </c>
      <c r="E7" s="1">
        <f>C7/SUM(C7:D7)</f>
        <v>0.25308641975308643</v>
      </c>
      <c r="F7" s="14">
        <f t="shared" si="0"/>
        <v>51.5</v>
      </c>
    </row>
    <row r="8" spans="1:6" x14ac:dyDescent="0.2">
      <c r="A8" s="9"/>
      <c r="B8" s="4"/>
      <c r="C8" s="5"/>
      <c r="D8" s="5"/>
      <c r="E8" s="1"/>
      <c r="F8" s="3"/>
    </row>
    <row r="9" spans="1:6" x14ac:dyDescent="0.2">
      <c r="A9" s="9"/>
      <c r="B9" s="4"/>
      <c r="C9" s="5"/>
      <c r="D9" s="5"/>
      <c r="E9" s="1"/>
      <c r="F9" s="3"/>
    </row>
    <row r="10" spans="1:6" x14ac:dyDescent="0.2">
      <c r="A10" s="9"/>
      <c r="B10" s="4"/>
      <c r="C10" s="5"/>
      <c r="D10" s="5"/>
      <c r="E10" s="1"/>
      <c r="F10" s="3"/>
    </row>
    <row r="11" spans="1:6" x14ac:dyDescent="0.2">
      <c r="A11" s="9"/>
      <c r="B11" s="4"/>
      <c r="C11" s="5"/>
      <c r="D11" s="5"/>
      <c r="E11" s="1"/>
      <c r="F11" s="3"/>
    </row>
    <row r="12" spans="1:6" x14ac:dyDescent="0.2">
      <c r="A12" s="9"/>
      <c r="B12" s="4"/>
      <c r="C12" s="5"/>
      <c r="D12" s="5"/>
      <c r="E12" s="1"/>
      <c r="F12" s="3"/>
    </row>
  </sheetData>
  <sortState xmlns:xlrd2="http://schemas.microsoft.com/office/spreadsheetml/2017/richdata2" ref="A3:F7">
    <sortCondition descending="1" ref="E3:E7"/>
  </sortState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8DAB-EA56-6F41-A26B-D4B90D7899E7}">
  <dimension ref="A1:H12"/>
  <sheetViews>
    <sheetView zoomScale="303" workbookViewId="0">
      <selection activeCell="K4" sqref="K4"/>
    </sheetView>
  </sheetViews>
  <sheetFormatPr baseColWidth="10" defaultRowHeight="16" x14ac:dyDescent="0.2"/>
  <cols>
    <col min="1" max="1" width="2.33203125" customWidth="1"/>
    <col min="2" max="2" width="5.6640625" bestFit="1" customWidth="1"/>
    <col min="3" max="4" width="6" customWidth="1"/>
    <col min="5" max="6" width="6.1640625" customWidth="1"/>
    <col min="7" max="7" width="5.6640625" bestFit="1" customWidth="1"/>
    <col min="8" max="8" width="4.6640625" bestFit="1" customWidth="1"/>
  </cols>
  <sheetData>
    <row r="1" spans="1:8" ht="24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0"/>
      <c r="B2" s="2" t="s">
        <v>7</v>
      </c>
      <c r="C2" s="2" t="s">
        <v>1</v>
      </c>
      <c r="D2" s="2" t="s">
        <v>2</v>
      </c>
      <c r="E2" s="2" t="s">
        <v>16</v>
      </c>
      <c r="F2" s="2" t="s">
        <v>17</v>
      </c>
      <c r="G2" s="2" t="s">
        <v>3</v>
      </c>
      <c r="H2" s="2" t="s">
        <v>4</v>
      </c>
    </row>
    <row r="3" spans="1:8" x14ac:dyDescent="0.2">
      <c r="A3" s="9">
        <v>1</v>
      </c>
      <c r="B3" s="12" t="s">
        <v>8</v>
      </c>
      <c r="C3" s="5">
        <v>52</v>
      </c>
      <c r="D3" s="5">
        <v>26</v>
      </c>
      <c r="E3" s="5">
        <v>4</v>
      </c>
      <c r="F3" s="11">
        <f t="shared" ref="F3:F10" si="0">(2*C3)+E3</f>
        <v>108</v>
      </c>
      <c r="G3" s="1">
        <f t="shared" ref="G3:G10" si="1">(C3+(E3/2))/SUM(C3:E3)</f>
        <v>0.65853658536585369</v>
      </c>
      <c r="H3" s="8" t="s">
        <v>5</v>
      </c>
    </row>
    <row r="4" spans="1:8" x14ac:dyDescent="0.2">
      <c r="A4" s="9">
        <v>2</v>
      </c>
      <c r="B4" s="12" t="s">
        <v>9</v>
      </c>
      <c r="C4" s="5">
        <v>47</v>
      </c>
      <c r="D4" s="5">
        <v>27</v>
      </c>
      <c r="E4" s="5">
        <v>8</v>
      </c>
      <c r="F4" s="11">
        <f t="shared" si="0"/>
        <v>102</v>
      </c>
      <c r="G4" s="1">
        <f t="shared" si="1"/>
        <v>0.62195121951219512</v>
      </c>
      <c r="H4" s="6">
        <f t="shared" ref="H4:H10" si="2">(($C$3+0.5*$E$3)-(C4+0.5*E4))/2</f>
        <v>1.5</v>
      </c>
    </row>
    <row r="5" spans="1:8" x14ac:dyDescent="0.2">
      <c r="A5" s="9">
        <v>3</v>
      </c>
      <c r="B5" s="12" t="s">
        <v>15</v>
      </c>
      <c r="C5" s="5">
        <v>47</v>
      </c>
      <c r="D5" s="5">
        <v>31</v>
      </c>
      <c r="E5" s="5">
        <v>4</v>
      </c>
      <c r="F5" s="11">
        <f t="shared" si="0"/>
        <v>98</v>
      </c>
      <c r="G5" s="1">
        <f t="shared" si="1"/>
        <v>0.59756097560975607</v>
      </c>
      <c r="H5" s="6">
        <f t="shared" si="2"/>
        <v>2.5</v>
      </c>
    </row>
    <row r="6" spans="1:8" x14ac:dyDescent="0.2">
      <c r="A6" s="9">
        <v>4</v>
      </c>
      <c r="B6" s="12" t="s">
        <v>13</v>
      </c>
      <c r="C6" s="5">
        <v>45</v>
      </c>
      <c r="D6" s="5">
        <v>30</v>
      </c>
      <c r="E6" s="5">
        <v>7</v>
      </c>
      <c r="F6" s="11">
        <f t="shared" si="0"/>
        <v>97</v>
      </c>
      <c r="G6" s="1">
        <f t="shared" si="1"/>
        <v>0.59146341463414631</v>
      </c>
      <c r="H6" s="6">
        <f t="shared" si="2"/>
        <v>2.75</v>
      </c>
    </row>
    <row r="7" spans="1:8" x14ac:dyDescent="0.2">
      <c r="A7" s="9">
        <v>5</v>
      </c>
      <c r="B7" s="12" t="s">
        <v>10</v>
      </c>
      <c r="C7" s="5">
        <v>40</v>
      </c>
      <c r="D7" s="5">
        <v>31</v>
      </c>
      <c r="E7" s="5">
        <v>11</v>
      </c>
      <c r="F7" s="11">
        <f t="shared" si="0"/>
        <v>91</v>
      </c>
      <c r="G7" s="1">
        <f t="shared" si="1"/>
        <v>0.55487804878048785</v>
      </c>
      <c r="H7" s="6">
        <f t="shared" si="2"/>
        <v>4.25</v>
      </c>
    </row>
    <row r="8" spans="1:8" x14ac:dyDescent="0.2">
      <c r="A8" s="9">
        <v>6</v>
      </c>
      <c r="B8" s="12" t="s">
        <v>14</v>
      </c>
      <c r="C8" s="5">
        <v>40</v>
      </c>
      <c r="D8" s="5">
        <v>31</v>
      </c>
      <c r="E8" s="5">
        <v>11</v>
      </c>
      <c r="F8" s="11">
        <f t="shared" si="0"/>
        <v>91</v>
      </c>
      <c r="G8" s="1">
        <f t="shared" si="1"/>
        <v>0.55487804878048785</v>
      </c>
      <c r="H8" s="6">
        <f t="shared" si="2"/>
        <v>4.25</v>
      </c>
    </row>
    <row r="9" spans="1:8" x14ac:dyDescent="0.2">
      <c r="A9" s="9">
        <v>7</v>
      </c>
      <c r="B9" s="12" t="s">
        <v>11</v>
      </c>
      <c r="C9" s="5">
        <v>36</v>
      </c>
      <c r="D9" s="5">
        <v>39</v>
      </c>
      <c r="E9" s="5">
        <v>7</v>
      </c>
      <c r="F9" s="11">
        <f t="shared" si="0"/>
        <v>79</v>
      </c>
      <c r="G9" s="1">
        <f t="shared" si="1"/>
        <v>0.48170731707317072</v>
      </c>
      <c r="H9" s="6">
        <f t="shared" si="2"/>
        <v>7.25</v>
      </c>
    </row>
    <row r="10" spans="1:8" x14ac:dyDescent="0.2">
      <c r="A10" s="9">
        <v>8</v>
      </c>
      <c r="B10" s="12" t="s">
        <v>12</v>
      </c>
      <c r="C10" s="5">
        <v>33</v>
      </c>
      <c r="D10" s="5">
        <v>39</v>
      </c>
      <c r="E10" s="5">
        <v>10</v>
      </c>
      <c r="F10" s="11">
        <f t="shared" si="0"/>
        <v>76</v>
      </c>
      <c r="G10" s="1">
        <f t="shared" si="1"/>
        <v>0.46341463414634149</v>
      </c>
      <c r="H10" s="6">
        <f t="shared" si="2"/>
        <v>8</v>
      </c>
    </row>
    <row r="11" spans="1:8" x14ac:dyDescent="0.2">
      <c r="A11" s="9"/>
      <c r="B11" s="4"/>
      <c r="C11" s="5"/>
      <c r="D11" s="5"/>
      <c r="E11" s="5"/>
      <c r="F11" s="1"/>
      <c r="G11" s="3"/>
    </row>
    <row r="12" spans="1:8" x14ac:dyDescent="0.2">
      <c r="A12" s="9"/>
      <c r="B12" s="4"/>
      <c r="C12" s="5"/>
      <c r="D12" s="5"/>
      <c r="E12" s="5"/>
      <c r="F12" s="1"/>
      <c r="G12" s="7"/>
    </row>
  </sheetData>
  <sortState xmlns:xlrd2="http://schemas.microsoft.com/office/spreadsheetml/2017/richdata2" ref="A3:H10">
    <sortCondition descending="1" ref="G3:G10"/>
  </sortState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D5E5-947D-B343-A9DB-D6E012734AE0}">
  <dimension ref="A1:P23"/>
  <sheetViews>
    <sheetView tabSelected="1" zoomScale="165" workbookViewId="0">
      <selection activeCell="A2" sqref="A2"/>
    </sheetView>
  </sheetViews>
  <sheetFormatPr baseColWidth="10" defaultRowHeight="16" x14ac:dyDescent="0.2"/>
  <cols>
    <col min="1" max="1" width="2.1640625" bestFit="1" customWidth="1"/>
    <col min="2" max="2" width="11" customWidth="1"/>
    <col min="3" max="3" width="4.6640625" bestFit="1" customWidth="1"/>
    <col min="4" max="4" width="4.33203125" bestFit="1" customWidth="1"/>
    <col min="5" max="14" width="11" customWidth="1"/>
  </cols>
  <sheetData>
    <row r="1" spans="1:16" x14ac:dyDescent="0.2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">
      <c r="A2" s="20" t="s">
        <v>25</v>
      </c>
      <c r="B2" s="9" t="s">
        <v>24</v>
      </c>
      <c r="C2" s="2" t="s">
        <v>26</v>
      </c>
      <c r="D2" s="2" t="s">
        <v>27</v>
      </c>
      <c r="E2" s="2"/>
      <c r="F2" s="2"/>
      <c r="G2" s="2"/>
      <c r="H2" s="2"/>
      <c r="I2" s="2"/>
      <c r="J2" s="2"/>
      <c r="K2" s="2"/>
    </row>
    <row r="3" spans="1:16" x14ac:dyDescent="0.2">
      <c r="A3" s="18"/>
      <c r="C3" s="11"/>
      <c r="D3" s="11"/>
      <c r="E3" s="11"/>
      <c r="F3" s="11"/>
      <c r="G3" s="11"/>
      <c r="H3" s="11"/>
      <c r="I3" s="11"/>
      <c r="J3" s="11"/>
      <c r="K3" s="19"/>
    </row>
    <row r="4" spans="1:16" x14ac:dyDescent="0.2">
      <c r="A4" s="18"/>
      <c r="C4" s="11"/>
      <c r="D4" s="11"/>
      <c r="E4" s="11"/>
      <c r="F4" s="11"/>
      <c r="G4" s="11"/>
      <c r="H4" s="11"/>
      <c r="I4" s="11"/>
      <c r="J4" s="11"/>
      <c r="K4" s="19"/>
    </row>
    <row r="5" spans="1:16" x14ac:dyDescent="0.2">
      <c r="A5" s="18"/>
      <c r="C5" s="11"/>
      <c r="D5" s="11"/>
      <c r="E5" s="11"/>
      <c r="F5" s="11"/>
      <c r="G5" s="11"/>
      <c r="H5" s="11"/>
      <c r="I5" s="11"/>
      <c r="J5" s="11"/>
      <c r="K5" s="19"/>
    </row>
    <row r="6" spans="1:16" x14ac:dyDescent="0.2">
      <c r="A6" s="18"/>
      <c r="C6" s="11"/>
      <c r="D6" s="11"/>
      <c r="E6" s="11"/>
      <c r="F6" s="11"/>
      <c r="G6" s="11"/>
      <c r="H6" s="11"/>
      <c r="I6" s="11"/>
      <c r="J6" s="11"/>
      <c r="K6" s="19"/>
    </row>
    <row r="7" spans="1:16" x14ac:dyDescent="0.2">
      <c r="A7" s="18"/>
      <c r="C7" s="11"/>
      <c r="D7" s="11"/>
      <c r="E7" s="11"/>
      <c r="F7" s="11"/>
      <c r="G7" s="11"/>
      <c r="H7" s="11"/>
      <c r="I7" s="11"/>
      <c r="J7" s="11"/>
      <c r="K7" s="19"/>
    </row>
    <row r="8" spans="1:16" x14ac:dyDescent="0.2">
      <c r="A8" s="18"/>
      <c r="C8" s="11"/>
      <c r="D8" s="11"/>
      <c r="E8" s="11"/>
      <c r="F8" s="11"/>
      <c r="G8" s="11"/>
      <c r="H8" s="11"/>
      <c r="I8" s="11"/>
      <c r="J8" s="11"/>
      <c r="K8" s="19"/>
    </row>
    <row r="9" spans="1:16" x14ac:dyDescent="0.2">
      <c r="A9" s="18"/>
      <c r="C9" s="11"/>
      <c r="D9" s="11"/>
      <c r="E9" s="11"/>
      <c r="F9" s="11"/>
      <c r="G9" s="11"/>
      <c r="H9" s="11"/>
      <c r="I9" s="11"/>
      <c r="J9" s="11"/>
      <c r="K9" s="19"/>
    </row>
    <row r="10" spans="1:16" x14ac:dyDescent="0.2">
      <c r="A10" s="18"/>
      <c r="C10" s="11"/>
      <c r="D10" s="11"/>
      <c r="E10" s="11"/>
      <c r="F10" s="11"/>
      <c r="G10" s="11"/>
      <c r="H10" s="11"/>
      <c r="I10" s="11"/>
      <c r="J10" s="11"/>
      <c r="K10" s="19"/>
    </row>
    <row r="11" spans="1:16" x14ac:dyDescent="0.2">
      <c r="A11" s="18"/>
      <c r="C11" s="11"/>
      <c r="D11" s="11"/>
      <c r="E11" s="11"/>
      <c r="F11" s="11"/>
      <c r="G11" s="11"/>
      <c r="H11" s="11"/>
      <c r="I11" s="11"/>
      <c r="J11" s="11"/>
      <c r="K11" s="19"/>
    </row>
    <row r="12" spans="1:16" x14ac:dyDescent="0.2">
      <c r="A12" s="18"/>
    </row>
    <row r="13" spans="1:16" x14ac:dyDescent="0.2">
      <c r="A13" s="18"/>
      <c r="B13" s="9"/>
      <c r="C13" s="2"/>
      <c r="D13" s="2"/>
      <c r="E13" s="2"/>
      <c r="F13" s="2"/>
      <c r="G13" s="2"/>
      <c r="H13" s="2"/>
      <c r="I13" s="2"/>
      <c r="J13" s="2"/>
      <c r="K13" s="2"/>
    </row>
    <row r="14" spans="1:16" x14ac:dyDescent="0.2">
      <c r="A14" s="18"/>
    </row>
    <row r="15" spans="1:16" x14ac:dyDescent="0.2">
      <c r="A15" s="18"/>
    </row>
    <row r="16" spans="1:16" x14ac:dyDescent="0.2">
      <c r="A16" s="18"/>
    </row>
    <row r="17" spans="1:1" x14ac:dyDescent="0.2">
      <c r="A17" s="18"/>
    </row>
    <row r="18" spans="1:1" x14ac:dyDescent="0.2">
      <c r="A18" s="18"/>
    </row>
    <row r="19" spans="1:1" x14ac:dyDescent="0.2">
      <c r="A19" s="18"/>
    </row>
    <row r="20" spans="1:1" x14ac:dyDescent="0.2">
      <c r="A20" s="18"/>
    </row>
    <row r="21" spans="1:1" x14ac:dyDescent="0.2">
      <c r="A21" s="18"/>
    </row>
    <row r="22" spans="1:1" x14ac:dyDescent="0.2">
      <c r="A22" s="18"/>
    </row>
    <row r="23" spans="1:1" x14ac:dyDescent="0.2">
      <c r="A23" s="18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Standings Without Ties</vt:lpstr>
      <vt:lpstr>Standings With 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2025-04-23T19:56:50Z</dcterms:created>
  <dcterms:modified xsi:type="dcterms:W3CDTF">2025-04-24T00:58:35Z</dcterms:modified>
</cp:coreProperties>
</file>