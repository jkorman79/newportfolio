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20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ephkorman/Desktop/Excel Funsies/"/>
    </mc:Choice>
  </mc:AlternateContent>
  <xr:revisionPtr revIDLastSave="0" documentId="8_{90E5102A-A824-8247-93F7-23F8A45207C7}" xr6:coauthVersionLast="47" xr6:coauthVersionMax="47" xr10:uidLastSave="{00000000-0000-0000-0000-000000000000}"/>
  <bookViews>
    <workbookView xWindow="0" yWindow="760" windowWidth="30240" windowHeight="17360" xr2:uid="{00000000-000D-0000-FFFF-FFFF00000000}"/>
  </bookViews>
  <sheets>
    <sheet name="Jan" sheetId="25" r:id="rId1"/>
    <sheet name="Feb" sheetId="3" r:id="rId2"/>
    <sheet name="Mar" sheetId="6" r:id="rId3"/>
    <sheet name="Apr" sheetId="8" r:id="rId4"/>
    <sheet name="May" sheetId="17" r:id="rId5"/>
    <sheet name="Jun" sheetId="18" r:id="rId6"/>
    <sheet name="Jul" sheetId="19" r:id="rId7"/>
    <sheet name="Aug" sheetId="20" r:id="rId8"/>
    <sheet name="Sep" sheetId="21" r:id="rId9"/>
    <sheet name="Oct" sheetId="22" r:id="rId10"/>
    <sheet name="Nov" sheetId="23" r:id="rId11"/>
    <sheet name="Dec" sheetId="24" r:id="rId12"/>
    <sheet name="2025 Totals" sheetId="7" r:id="rId13"/>
    <sheet name="Chart Data" sheetId="2" state="hidden" r:id="rId14"/>
  </sheets>
  <definedNames>
    <definedName name="Total_Monthly_Expenses">#REF!</definedName>
    <definedName name="Total_Monthly_Income">#REF!</definedName>
    <definedName name="Total_Monthly_Savings">#REF!</definedName>
    <definedName name="TotalMonthlyExpenses">#REF!</definedName>
    <definedName name="TotalMonthlyIncome">#REF!</definedName>
    <definedName name="TotalMonthlySaving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25" l="1"/>
  <c r="P14" i="25" s="1"/>
  <c r="P12" i="25"/>
  <c r="M12" i="25"/>
  <c r="B16" i="25" s="1"/>
  <c r="I12" i="25"/>
  <c r="F12" i="25"/>
  <c r="C12" i="25"/>
  <c r="B18" i="25" s="1"/>
  <c r="I15" i="8"/>
  <c r="E11" i="7" s="1"/>
  <c r="F15" i="8"/>
  <c r="F20" i="6"/>
  <c r="P15" i="8"/>
  <c r="E5" i="7" s="1"/>
  <c r="I20" i="6"/>
  <c r="L4" i="7"/>
  <c r="L6" i="7" s="1"/>
  <c r="M9" i="7"/>
  <c r="M5" i="7"/>
  <c r="L5" i="7"/>
  <c r="K11" i="7"/>
  <c r="K10" i="7"/>
  <c r="K9" i="7"/>
  <c r="K5" i="7"/>
  <c r="J4" i="7"/>
  <c r="I10" i="7"/>
  <c r="I9" i="7"/>
  <c r="I11" i="7"/>
  <c r="I5" i="7"/>
  <c r="G5" i="7"/>
  <c r="G4" i="7"/>
  <c r="G6" i="7" s="1"/>
  <c r="P12" i="24"/>
  <c r="M12" i="24"/>
  <c r="M4" i="7" s="1"/>
  <c r="M6" i="7" s="1"/>
  <c r="I12" i="24"/>
  <c r="M11" i="7" s="1"/>
  <c r="F12" i="24"/>
  <c r="M10" i="7" s="1"/>
  <c r="C12" i="24"/>
  <c r="P12" i="23"/>
  <c r="M12" i="23"/>
  <c r="I12" i="23"/>
  <c r="L11" i="7" s="1"/>
  <c r="F12" i="23"/>
  <c r="L10" i="7" s="1"/>
  <c r="C12" i="23"/>
  <c r="B19" i="23" s="1"/>
  <c r="P12" i="22"/>
  <c r="M12" i="22"/>
  <c r="K4" i="7" s="1"/>
  <c r="I12" i="22"/>
  <c r="F12" i="22"/>
  <c r="C12" i="22"/>
  <c r="P12" i="21"/>
  <c r="J5" i="7" s="1"/>
  <c r="M12" i="21"/>
  <c r="I12" i="21"/>
  <c r="J11" i="7" s="1"/>
  <c r="F12" i="21"/>
  <c r="J10" i="7" s="1"/>
  <c r="C12" i="21"/>
  <c r="J9" i="7" s="1"/>
  <c r="P12" i="20"/>
  <c r="M12" i="20"/>
  <c r="I4" i="7" s="1"/>
  <c r="I6" i="7" s="1"/>
  <c r="I12" i="20"/>
  <c r="F12" i="20"/>
  <c r="C12" i="20"/>
  <c r="B19" i="20" s="1"/>
  <c r="P12" i="19"/>
  <c r="H5" i="7" s="1"/>
  <c r="M12" i="19"/>
  <c r="H4" i="7" s="1"/>
  <c r="I12" i="19"/>
  <c r="H11" i="7" s="1"/>
  <c r="F12" i="19"/>
  <c r="H10" i="7" s="1"/>
  <c r="C12" i="19"/>
  <c r="H9" i="7" s="1"/>
  <c r="P12" i="18"/>
  <c r="M12" i="18"/>
  <c r="I12" i="18"/>
  <c r="G11" i="7" s="1"/>
  <c r="F12" i="18"/>
  <c r="G10" i="7" s="1"/>
  <c r="C12" i="18"/>
  <c r="B19" i="18" s="1"/>
  <c r="P12" i="17"/>
  <c r="F5" i="7" s="1"/>
  <c r="M12" i="17"/>
  <c r="F4" i="7" s="1"/>
  <c r="I12" i="17"/>
  <c r="F11" i="7" s="1"/>
  <c r="F12" i="17"/>
  <c r="F10" i="7" s="1"/>
  <c r="C12" i="17"/>
  <c r="B14" i="3"/>
  <c r="M15" i="8"/>
  <c r="E4" i="7" s="1"/>
  <c r="C15" i="8"/>
  <c r="E9" i="7" s="1"/>
  <c r="C5" i="7"/>
  <c r="B12" i="7"/>
  <c r="M8" i="7"/>
  <c r="L8" i="7"/>
  <c r="K8" i="7"/>
  <c r="J8" i="7"/>
  <c r="I8" i="7"/>
  <c r="H8" i="7"/>
  <c r="G8" i="7"/>
  <c r="F8" i="7"/>
  <c r="E8" i="7"/>
  <c r="D8" i="7"/>
  <c r="C8" i="7"/>
  <c r="B8" i="7"/>
  <c r="B6" i="7"/>
  <c r="B17" i="25" l="1"/>
  <c r="J12" i="7"/>
  <c r="F6" i="7"/>
  <c r="M12" i="7"/>
  <c r="K12" i="7"/>
  <c r="I12" i="7"/>
  <c r="F17" i="21"/>
  <c r="L12" i="7"/>
  <c r="G9" i="7"/>
  <c r="L9" i="7"/>
  <c r="B19" i="17"/>
  <c r="F9" i="7"/>
  <c r="F12" i="7" s="1"/>
  <c r="F17" i="23"/>
  <c r="B19" i="22"/>
  <c r="F17" i="22"/>
  <c r="B19" i="21"/>
  <c r="F17" i="20"/>
  <c r="H6" i="7"/>
  <c r="F17" i="19"/>
  <c r="B19" i="19"/>
  <c r="F17" i="18"/>
  <c r="F17" i="17"/>
  <c r="J6" i="7"/>
  <c r="B19" i="24"/>
  <c r="F17" i="24"/>
  <c r="F18" i="24"/>
  <c r="F18" i="23"/>
  <c r="F18" i="22"/>
  <c r="F18" i="21"/>
  <c r="F18" i="20"/>
  <c r="F18" i="19"/>
  <c r="F18" i="18"/>
  <c r="K6" i="7"/>
  <c r="K14" i="7" s="1"/>
  <c r="F18" i="17"/>
  <c r="B22" i="8"/>
  <c r="E10" i="7"/>
  <c r="E12" i="7" s="1"/>
  <c r="F21" i="8"/>
  <c r="F20" i="8"/>
  <c r="E6" i="7"/>
  <c r="G12" i="7"/>
  <c r="G14" i="7" s="1"/>
  <c r="M14" i="7"/>
  <c r="H12" i="7"/>
  <c r="H14" i="7" s="1"/>
  <c r="I14" i="7"/>
  <c r="J14" i="7"/>
  <c r="B14" i="7"/>
  <c r="L14" i="7"/>
  <c r="F14" i="7" l="1"/>
  <c r="E14" i="7"/>
  <c r="P20" i="6"/>
  <c r="D5" i="7" s="1"/>
  <c r="N5" i="7" s="1"/>
  <c r="M20" i="6"/>
  <c r="D4" i="7" s="1"/>
  <c r="D11" i="7"/>
  <c r="D10" i="7"/>
  <c r="C20" i="6"/>
  <c r="I12" i="3"/>
  <c r="C11" i="7" s="1"/>
  <c r="F12" i="3"/>
  <c r="C10" i="7" l="1"/>
  <c r="N10" i="7"/>
  <c r="D6" i="7"/>
  <c r="F26" i="6"/>
  <c r="F25" i="6"/>
  <c r="D9" i="7"/>
  <c r="F24" i="6"/>
  <c r="M12" i="3"/>
  <c r="C4" i="7" s="1"/>
  <c r="C6" i="7" s="1"/>
  <c r="C12" i="3"/>
  <c r="C9" i="7" s="1"/>
  <c r="P12" i="3"/>
  <c r="N6" i="7" l="1"/>
  <c r="N4" i="7"/>
  <c r="P14" i="3"/>
  <c r="B22" i="6" s="1"/>
  <c r="P22" i="6" s="1"/>
  <c r="B17" i="8" s="1"/>
  <c r="P17" i="8" s="1"/>
  <c r="B17" i="3"/>
  <c r="B16" i="3"/>
  <c r="N9" i="7"/>
  <c r="B18" i="3"/>
  <c r="C12" i="7"/>
  <c r="C14" i="7" s="1"/>
  <c r="N11" i="7"/>
  <c r="N12" i="7" s="1"/>
  <c r="N14" i="7" s="1"/>
  <c r="D12" i="7"/>
  <c r="D14" i="7" s="1"/>
  <c r="B6" i="2"/>
  <c r="B5" i="2"/>
  <c r="B4" i="2" s="1"/>
  <c r="B14" i="17" l="1"/>
  <c r="P14" i="17" s="1"/>
  <c r="B14" i="18" l="1"/>
  <c r="P14" i="18" s="1"/>
  <c r="B14" i="19" s="1"/>
  <c r="P14" i="19" s="1"/>
  <c r="B14" i="20" s="1"/>
  <c r="P14" i="20" s="1"/>
  <c r="B14" i="21" s="1"/>
  <c r="P14" i="21" s="1"/>
  <c r="B14" i="22" s="1"/>
  <c r="P14" i="22" s="1"/>
  <c r="B14" i="23" s="1"/>
  <c r="P14" i="23" s="1"/>
  <c r="B14" i="24" s="1"/>
  <c r="P14" i="24" s="1"/>
</calcChain>
</file>

<file path=xl/sharedStrings.xml><?xml version="1.0" encoding="utf-8"?>
<sst xmlns="http://schemas.openxmlformats.org/spreadsheetml/2006/main" count="423" uniqueCount="40">
  <si>
    <t>Other</t>
  </si>
  <si>
    <t>Amount</t>
  </si>
  <si>
    <t>Date</t>
  </si>
  <si>
    <t>% of Income Spent</t>
  </si>
  <si>
    <t>CHART DATA</t>
  </si>
  <si>
    <t>Expenses</t>
  </si>
  <si>
    <t xml:space="preserve">Fixed </t>
  </si>
  <si>
    <t>Flexible</t>
  </si>
  <si>
    <t>Discretionary</t>
  </si>
  <si>
    <t>Cost</t>
  </si>
  <si>
    <t>Source</t>
  </si>
  <si>
    <t>Income</t>
  </si>
  <si>
    <t>Work</t>
  </si>
  <si>
    <t>Total</t>
  </si>
  <si>
    <t>Harpur Edge</t>
  </si>
  <si>
    <t>Beg. Bal</t>
  </si>
  <si>
    <t>End Bal.</t>
  </si>
  <si>
    <t xml:space="preserve">    March</t>
  </si>
  <si>
    <t>Flexible Expenses</t>
  </si>
  <si>
    <t>Discretionary Expenses</t>
  </si>
  <si>
    <t>Fixed Expenses</t>
  </si>
  <si>
    <t>Work Income</t>
  </si>
  <si>
    <t>Other Income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</si>
  <si>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</si>
  <si>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</si>
  <si>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</si>
  <si>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</si>
  <si>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</si>
  <si>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</si>
  <si>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</si>
  <si>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</si>
  <si>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</si>
  <si>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</si>
  <si>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</si>
  <si>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</si>
  <si>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Net</t>
  </si>
  <si>
    <t>Amount Spent</t>
  </si>
  <si>
    <t>Remaining</t>
  </si>
  <si>
    <t>Total Income</t>
  </si>
  <si>
    <t>202X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</si>
</sst>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m/d;@"/>
  </numFmts>
  <fonts count="30">
    <font>
      <b/>
      <sz val="12"/>
      <color theme="3" tint="0.3999145481734672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8"/>
      <color theme="3"/>
      <name val="Arial"/>
      <family val="2"/>
      <scheme val="minor"/>
    </font>
    <font>
      <sz val="12"/>
      <color theme="0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29"/>
      <color theme="3"/>
      <name val="Arial"/>
      <family val="2"/>
      <scheme val="major"/>
    </font>
    <font>
      <sz val="12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20"/>
      <color rgb="FF002060"/>
      <name val="Arial Rounded MT Bold"/>
      <family val="2"/>
    </font>
    <font>
      <b/>
      <sz val="12"/>
      <color theme="3" tint="0.39991454817346722"/>
      <name val="Arial Rounded MT Bold"/>
      <family val="2"/>
    </font>
    <font>
      <b/>
      <sz val="18"/>
      <color rgb="FF002060"/>
      <name val="Arial Rounded MT Bold"/>
      <family val="2"/>
    </font>
    <font>
      <sz val="10"/>
      <color theme="3" tint="0.24994659260841701"/>
      <name val="Arial"/>
      <family val="2"/>
      <scheme val="minor"/>
    </font>
    <font>
      <sz val="10"/>
      <color theme="4"/>
      <name val="Arial"/>
      <family val="2"/>
      <scheme val="major"/>
    </font>
    <font>
      <sz val="13"/>
      <color theme="3" tint="0.24994659260841701"/>
      <name val="Arial"/>
      <family val="2"/>
      <scheme val="major"/>
    </font>
    <font>
      <sz val="24"/>
      <color theme="3" tint="0.24994659260841701"/>
      <name val="Arial"/>
      <family val="2"/>
      <scheme val="minor"/>
    </font>
    <font>
      <sz val="20"/>
      <color theme="0"/>
      <name val="Arial"/>
      <family val="2"/>
      <scheme val="major"/>
    </font>
    <font>
      <b/>
      <sz val="16"/>
      <color theme="1"/>
      <name val="Arial"/>
      <family val="2"/>
      <scheme val="minor"/>
    </font>
    <font>
      <b/>
      <sz val="12"/>
      <color theme="3" tint="0.39991454817346722"/>
      <name val="Arial"/>
      <family val="2"/>
      <scheme val="minor"/>
    </font>
    <font>
      <b/>
      <sz val="13"/>
      <color theme="1"/>
      <name val="Arial Rounded MT Bold"/>
      <family val="2"/>
    </font>
    <font>
      <sz val="13"/>
      <color theme="1"/>
      <name val="Arial Rounded MT Bold"/>
      <family val="2"/>
    </font>
    <font>
      <b/>
      <sz val="16"/>
      <color theme="0"/>
      <name val="Arial"/>
      <family val="2"/>
      <scheme val="minor"/>
    </font>
    <font>
      <b/>
      <sz val="20"/>
      <color theme="1"/>
      <name val="Montserrat"/>
    </font>
    <font>
      <b/>
      <sz val="14"/>
      <color theme="3" tint="0.39991454817346722"/>
      <name val="Arial"/>
      <family val="2"/>
      <scheme val="minor"/>
    </font>
    <font>
      <b/>
      <sz val="20"/>
      <color theme="0"/>
      <name val="Montserrat"/>
    </font>
    <font>
      <b/>
      <sz val="29"/>
      <color rgb="FF002060"/>
      <name val="Montserrat"/>
    </font>
    <font>
      <b/>
      <sz val="29"/>
      <color theme="9"/>
      <name val="Montserrat"/>
    </font>
    <font>
      <b/>
      <sz val="25"/>
      <color theme="9"/>
      <name val="Montserrat"/>
    </font>
    <font>
      <b/>
      <sz val="12"/>
      <color rgb="FFFF0000"/>
      <name val="Arial (Body)"/>
    </font>
    <font>
      <b/>
      <sz val="8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6"/>
      </left>
      <right style="thin">
        <color indexed="64"/>
      </right>
      <top/>
      <bottom style="thin">
        <color indexed="64"/>
      </bottom>
      <diagonal/>
    </border>
    <border>
      <left style="thin">
        <color theme="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6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6"/>
      </right>
      <top/>
      <bottom style="thin">
        <color theme="1"/>
      </bottom>
      <diagonal/>
    </border>
    <border>
      <left style="thin">
        <color theme="6"/>
      </left>
      <right/>
      <top/>
      <bottom/>
      <diagonal/>
    </border>
    <border>
      <left style="medium">
        <color theme="1"/>
      </left>
      <right style="thin">
        <color theme="6"/>
      </right>
      <top/>
      <bottom/>
      <diagonal/>
    </border>
    <border>
      <left style="thin">
        <color theme="6"/>
      </left>
      <right/>
      <top style="medium">
        <color theme="1"/>
      </top>
      <bottom/>
      <diagonal/>
    </border>
    <border>
      <left style="medium">
        <color theme="1"/>
      </left>
      <right style="thin">
        <color theme="6"/>
      </right>
      <top style="medium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6"/>
      </left>
      <right/>
      <top style="thin">
        <color theme="6"/>
      </top>
      <bottom style="thin">
        <color indexed="64"/>
      </bottom>
      <diagonal/>
    </border>
    <border>
      <left/>
      <right/>
      <top style="thin">
        <color theme="6"/>
      </top>
      <bottom style="thin">
        <color indexed="64"/>
      </bottom>
      <diagonal/>
    </border>
    <border>
      <left/>
      <right style="thin">
        <color theme="6"/>
      </right>
      <top style="thin">
        <color theme="6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6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6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6"/>
      </left>
      <right style="medium">
        <color theme="1"/>
      </right>
      <top style="medium">
        <color theme="1"/>
      </top>
      <bottom style="thin">
        <color theme="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4"/>
      </bottom>
      <diagonal/>
    </border>
    <border>
      <left/>
      <right/>
      <top/>
      <bottom style="double">
        <color theme="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6"/>
      </right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16">
    <xf numFmtId="0" fontId="0" fillId="0" borderId="0"/>
    <xf numFmtId="0" fontId="5" fillId="0" borderId="0" applyNumberFormat="0" applyFill="0" applyAlignment="0" applyProtection="0"/>
    <xf numFmtId="0" fontId="4" fillId="0" borderId="0" applyNumberFormat="0" applyFill="0" applyProtection="0">
      <alignment horizontal="left"/>
    </xf>
    <xf numFmtId="0" fontId="2" fillId="0" borderId="0" applyNumberFormat="0" applyFill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12" fillId="5" borderId="0"/>
    <xf numFmtId="0" fontId="13" fillId="5" borderId="22" applyNumberFormat="0" applyAlignment="0" applyProtection="0"/>
    <xf numFmtId="0" fontId="14" fillId="5" borderId="0" applyNumberFormat="0" applyProtection="0">
      <alignment horizontal="left"/>
    </xf>
    <xf numFmtId="165" fontId="15" fillId="5" borderId="0" applyAlignment="0" applyProtection="0"/>
    <xf numFmtId="0" fontId="16" fillId="6" borderId="0" applyNumberFormat="0" applyBorder="0" applyProtection="0">
      <alignment horizontal="left" vertical="center"/>
    </xf>
    <xf numFmtId="4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</cellStyleXfs>
  <cellXfs count="129">
    <xf numFmtId="0" fontId="0" fillId="0" borderId="0" xfId="0"/>
    <xf numFmtId="9" fontId="6" fillId="0" borderId="0" xfId="0" applyNumberFormat="1" applyFont="1"/>
    <xf numFmtId="0" fontId="8" fillId="3" borderId="4" xfId="0" applyFont="1" applyFill="1" applyBorder="1"/>
    <xf numFmtId="0" fontId="8" fillId="3" borderId="3" xfId="0" applyFont="1" applyFill="1" applyBorder="1"/>
    <xf numFmtId="0" fontId="8" fillId="0" borderId="4" xfId="0" applyFont="1" applyBorder="1"/>
    <xf numFmtId="0" fontId="8" fillId="0" borderId="3" xfId="0" applyFont="1" applyBorder="1"/>
    <xf numFmtId="166" fontId="8" fillId="3" borderId="4" xfId="0" applyNumberFormat="1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166" fontId="8" fillId="0" borderId="4" xfId="0" applyNumberFormat="1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7" fillId="0" borderId="0" xfId="4" applyFill="1" applyBorder="1" applyAlignment="1">
      <alignment horizontal="center"/>
    </xf>
    <xf numFmtId="166" fontId="8" fillId="3" borderId="6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/>
    <xf numFmtId="0" fontId="7" fillId="2" borderId="8" xfId="4" applyFill="1" applyBorder="1" applyAlignment="1">
      <alignment horizontal="center"/>
    </xf>
    <xf numFmtId="0" fontId="7" fillId="2" borderId="13" xfId="4" applyFill="1" applyBorder="1" applyAlignment="1">
      <alignment horizontal="center"/>
    </xf>
    <xf numFmtId="0" fontId="7" fillId="2" borderId="14" xfId="4" applyFill="1" applyBorder="1" applyAlignment="1">
      <alignment horizontal="center"/>
    </xf>
    <xf numFmtId="166" fontId="8" fillId="3" borderId="15" xfId="0" applyNumberFormat="1" applyFont="1" applyFill="1" applyBorder="1" applyAlignment="1">
      <alignment horizontal="center"/>
    </xf>
    <xf numFmtId="0" fontId="8" fillId="3" borderId="16" xfId="0" applyFont="1" applyFill="1" applyBorder="1"/>
    <xf numFmtId="166" fontId="8" fillId="0" borderId="17" xfId="0" applyNumberFormat="1" applyFont="1" applyBorder="1" applyAlignment="1">
      <alignment horizontal="center"/>
    </xf>
    <xf numFmtId="0" fontId="8" fillId="0" borderId="18" xfId="0" applyFont="1" applyBorder="1"/>
    <xf numFmtId="166" fontId="8" fillId="3" borderId="17" xfId="0" applyNumberFormat="1" applyFont="1" applyFill="1" applyBorder="1" applyAlignment="1">
      <alignment horizontal="center"/>
    </xf>
    <xf numFmtId="0" fontId="8" fillId="3" borderId="18" xfId="0" applyFont="1" applyFill="1" applyBorder="1"/>
    <xf numFmtId="164" fontId="8" fillId="0" borderId="21" xfId="5" applyNumberFormat="1" applyBorder="1" applyAlignment="1">
      <alignment horizontal="center"/>
    </xf>
    <xf numFmtId="164" fontId="8" fillId="0" borderId="20" xfId="5" applyNumberFormat="1" applyBorder="1" applyAlignment="1">
      <alignment horizontal="center"/>
    </xf>
    <xf numFmtId="8" fontId="8" fillId="0" borderId="21" xfId="5" applyNumberFormat="1" applyBorder="1" applyAlignment="1">
      <alignment horizontal="center"/>
    </xf>
    <xf numFmtId="0" fontId="8" fillId="0" borderId="0" xfId="5" applyBorder="1"/>
    <xf numFmtId="0" fontId="10" fillId="0" borderId="0" xfId="0" applyFont="1"/>
    <xf numFmtId="164" fontId="8" fillId="3" borderId="5" xfId="0" applyNumberFormat="1" applyFont="1" applyFill="1" applyBorder="1" applyAlignment="1">
      <alignment horizontal="center"/>
    </xf>
    <xf numFmtId="40" fontId="8" fillId="0" borderId="3" xfId="0" applyNumberFormat="1" applyFont="1" applyBorder="1" applyAlignment="1">
      <alignment horizontal="center"/>
    </xf>
    <xf numFmtId="40" fontId="8" fillId="3" borderId="3" xfId="0" applyNumberFormat="1" applyFont="1" applyFill="1" applyBorder="1" applyAlignment="1">
      <alignment horizontal="center"/>
    </xf>
    <xf numFmtId="164" fontId="8" fillId="0" borderId="3" xfId="0" applyNumberFormat="1" applyFont="1" applyBorder="1" applyAlignment="1">
      <alignment horizontal="center"/>
    </xf>
    <xf numFmtId="164" fontId="8" fillId="3" borderId="3" xfId="0" applyNumberFormat="1" applyFont="1" applyFill="1" applyBorder="1" applyAlignment="1">
      <alignment horizontal="center"/>
    </xf>
    <xf numFmtId="164" fontId="0" fillId="0" borderId="0" xfId="0" applyNumberFormat="1"/>
    <xf numFmtId="8" fontId="8" fillId="0" borderId="2" xfId="5" applyNumberFormat="1"/>
    <xf numFmtId="0" fontId="17" fillId="0" borderId="2" xfId="5" applyFont="1"/>
    <xf numFmtId="2" fontId="8" fillId="0" borderId="3" xfId="0" applyNumberFormat="1" applyFont="1" applyBorder="1" applyAlignment="1">
      <alignment horizontal="center"/>
    </xf>
    <xf numFmtId="2" fontId="8" fillId="3" borderId="3" xfId="0" applyNumberFormat="1" applyFont="1" applyFill="1" applyBorder="1" applyAlignment="1">
      <alignment horizontal="center"/>
    </xf>
    <xf numFmtId="10" fontId="0" fillId="0" borderId="0" xfId="12" applyNumberFormat="1" applyFont="1"/>
    <xf numFmtId="0" fontId="4" fillId="0" borderId="0" xfId="2" applyAlignment="1">
      <alignment horizontal="center"/>
    </xf>
    <xf numFmtId="0" fontId="20" fillId="0" borderId="0" xfId="0" applyFont="1"/>
    <xf numFmtId="0" fontId="4" fillId="0" borderId="29" xfId="2" applyBorder="1" applyAlignment="1">
      <alignment horizontal="center"/>
    </xf>
    <xf numFmtId="0" fontId="19" fillId="0" borderId="28" xfId="0" applyFont="1" applyBorder="1"/>
    <xf numFmtId="0" fontId="20" fillId="0" borderId="29" xfId="0" applyFont="1" applyBorder="1"/>
    <xf numFmtId="0" fontId="19" fillId="0" borderId="28" xfId="0" applyFont="1" applyBorder="1" applyAlignment="1">
      <alignment horizontal="right"/>
    </xf>
    <xf numFmtId="0" fontId="22" fillId="0" borderId="30" xfId="5" applyFont="1" applyBorder="1" applyAlignment="1">
      <alignment horizontal="right"/>
    </xf>
    <xf numFmtId="0" fontId="0" fillId="0" borderId="0" xfId="0" applyAlignment="1">
      <alignment vertical="center"/>
    </xf>
    <xf numFmtId="44" fontId="23" fillId="8" borderId="0" xfId="11" quotePrefix="1" applyFont="1" applyFill="1" applyBorder="1" applyAlignment="1">
      <alignment horizontal="center" vertical="center"/>
    </xf>
    <xf numFmtId="44" fontId="23" fillId="8" borderId="0" xfId="11" applyFont="1" applyFill="1" applyBorder="1" applyAlignment="1">
      <alignment horizontal="center" vertical="center"/>
    </xf>
    <xf numFmtId="44" fontId="23" fillId="8" borderId="0" xfId="11" applyFont="1" applyFill="1" applyBorder="1" applyAlignment="1">
      <alignment horizontal="left" vertical="center"/>
    </xf>
    <xf numFmtId="44" fontId="23" fillId="8" borderId="29" xfId="11" applyFont="1" applyFill="1" applyBorder="1" applyAlignment="1">
      <alignment horizontal="left" vertical="center"/>
    </xf>
    <xf numFmtId="44" fontId="23" fillId="9" borderId="0" xfId="11" applyFont="1" applyFill="1" applyBorder="1" applyAlignment="1">
      <alignment horizontal="center" vertical="center"/>
    </xf>
    <xf numFmtId="44" fontId="23" fillId="9" borderId="0" xfId="11" applyFont="1" applyFill="1" applyBorder="1" applyAlignment="1">
      <alignment horizontal="left" vertical="center"/>
    </xf>
    <xf numFmtId="44" fontId="23" fillId="9" borderId="29" xfId="11" applyFont="1" applyFill="1" applyBorder="1" applyAlignment="1">
      <alignment horizontal="left" vertical="center"/>
    </xf>
    <xf numFmtId="0" fontId="17" fillId="8" borderId="28" xfId="14" applyFont="1" applyBorder="1" applyAlignment="1">
      <alignment horizontal="right" vertical="center"/>
    </xf>
    <xf numFmtId="0" fontId="17" fillId="9" borderId="28" xfId="15" applyFont="1" applyBorder="1" applyAlignment="1">
      <alignment horizontal="right" vertical="center"/>
    </xf>
    <xf numFmtId="0" fontId="4" fillId="0" borderId="28" xfId="2" applyBorder="1" applyAlignment="1">
      <alignment horizontal="right"/>
    </xf>
    <xf numFmtId="44" fontId="21" fillId="7" borderId="33" xfId="13" applyNumberFormat="1" applyFont="1" applyBorder="1" applyAlignment="1">
      <alignment vertical="center"/>
    </xf>
    <xf numFmtId="44" fontId="21" fillId="7" borderId="34" xfId="13" applyNumberFormat="1" applyFont="1" applyBorder="1" applyAlignment="1">
      <alignment vertical="center"/>
    </xf>
    <xf numFmtId="44" fontId="17" fillId="0" borderId="2" xfId="5" applyNumberFormat="1" applyFont="1" applyAlignment="1">
      <alignment vertical="center"/>
    </xf>
    <xf numFmtId="44" fontId="17" fillId="0" borderId="31" xfId="5" applyNumberFormat="1" applyFont="1" applyBorder="1" applyAlignment="1">
      <alignment vertical="center"/>
    </xf>
    <xf numFmtId="0" fontId="24" fillId="7" borderId="32" xfId="13" applyFont="1" applyBorder="1" applyAlignment="1">
      <alignment horizontal="right"/>
    </xf>
    <xf numFmtId="10" fontId="0" fillId="0" borderId="0" xfId="12" applyNumberFormat="1" applyFont="1" applyAlignment="1"/>
    <xf numFmtId="44" fontId="23" fillId="9" borderId="0" xfId="11" quotePrefix="1" applyFont="1" applyFill="1" applyBorder="1" applyAlignment="1">
      <alignment horizontal="center" vertical="center"/>
    </xf>
    <xf numFmtId="8" fontId="8" fillId="0" borderId="35" xfId="5" applyNumberFormat="1" applyBorder="1"/>
    <xf numFmtId="0" fontId="17" fillId="0" borderId="36" xfId="5" applyFont="1" applyBorder="1"/>
    <xf numFmtId="164" fontId="8" fillId="0" borderId="2" xfId="5" applyNumberFormat="1" applyAlignment="1">
      <alignment horizontal="center"/>
    </xf>
    <xf numFmtId="8" fontId="8" fillId="0" borderId="2" xfId="5" applyNumberFormat="1" applyAlignment="1">
      <alignment horizontal="center"/>
    </xf>
    <xf numFmtId="166" fontId="8" fillId="3" borderId="40" xfId="0" applyNumberFormat="1" applyFont="1" applyFill="1" applyBorder="1" applyAlignment="1">
      <alignment horizontal="center"/>
    </xf>
    <xf numFmtId="0" fontId="8" fillId="3" borderId="41" xfId="0" applyFont="1" applyFill="1" applyBorder="1" applyAlignment="1">
      <alignment horizontal="center"/>
    </xf>
    <xf numFmtId="166" fontId="8" fillId="3" borderId="41" xfId="0" applyNumberFormat="1" applyFont="1" applyFill="1" applyBorder="1" applyAlignment="1">
      <alignment horizontal="center"/>
    </xf>
    <xf numFmtId="164" fontId="8" fillId="3" borderId="41" xfId="0" applyNumberFormat="1" applyFont="1" applyFill="1" applyBorder="1" applyAlignment="1">
      <alignment horizontal="center"/>
    </xf>
    <xf numFmtId="166" fontId="8" fillId="0" borderId="42" xfId="0" applyNumberFormat="1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166" fontId="8" fillId="0" borderId="43" xfId="0" applyNumberFormat="1" applyFont="1" applyBorder="1" applyAlignment="1">
      <alignment horizontal="center"/>
    </xf>
    <xf numFmtId="164" fontId="8" fillId="0" borderId="43" xfId="0" applyNumberFormat="1" applyFont="1" applyBorder="1" applyAlignment="1">
      <alignment horizontal="center"/>
    </xf>
    <xf numFmtId="166" fontId="8" fillId="3" borderId="42" xfId="0" applyNumberFormat="1" applyFont="1" applyFill="1" applyBorder="1" applyAlignment="1">
      <alignment horizontal="center"/>
    </xf>
    <xf numFmtId="0" fontId="8" fillId="3" borderId="43" xfId="0" applyFont="1" applyFill="1" applyBorder="1" applyAlignment="1">
      <alignment horizontal="center"/>
    </xf>
    <xf numFmtId="166" fontId="8" fillId="3" borderId="43" xfId="0" applyNumberFormat="1" applyFont="1" applyFill="1" applyBorder="1" applyAlignment="1">
      <alignment horizontal="center"/>
    </xf>
    <xf numFmtId="2" fontId="8" fillId="3" borderId="43" xfId="0" applyNumberFormat="1" applyFont="1" applyFill="1" applyBorder="1" applyAlignment="1">
      <alignment horizontal="center"/>
    </xf>
    <xf numFmtId="40" fontId="8" fillId="3" borderId="43" xfId="0" applyNumberFormat="1" applyFont="1" applyFill="1" applyBorder="1" applyAlignment="1">
      <alignment horizontal="center"/>
    </xf>
    <xf numFmtId="40" fontId="8" fillId="0" borderId="43" xfId="0" applyNumberFormat="1" applyFont="1" applyBorder="1" applyAlignment="1">
      <alignment horizontal="center"/>
    </xf>
    <xf numFmtId="166" fontId="8" fillId="0" borderId="44" xfId="0" applyNumberFormat="1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166" fontId="8" fillId="0" borderId="45" xfId="0" applyNumberFormat="1" applyFont="1" applyBorder="1" applyAlignment="1">
      <alignment horizontal="center"/>
    </xf>
    <xf numFmtId="2" fontId="8" fillId="0" borderId="45" xfId="0" applyNumberFormat="1" applyFont="1" applyBorder="1" applyAlignment="1">
      <alignment horizontal="center"/>
    </xf>
    <xf numFmtId="40" fontId="8" fillId="0" borderId="45" xfId="0" applyNumberFormat="1" applyFont="1" applyBorder="1" applyAlignment="1">
      <alignment horizontal="center"/>
    </xf>
    <xf numFmtId="2" fontId="8" fillId="0" borderId="43" xfId="0" applyNumberFormat="1" applyFont="1" applyBorder="1" applyAlignment="1">
      <alignment horizontal="center"/>
    </xf>
    <xf numFmtId="164" fontId="8" fillId="0" borderId="46" xfId="5" applyNumberFormat="1" applyBorder="1" applyAlignment="1">
      <alignment horizontal="center"/>
    </xf>
    <xf numFmtId="166" fontId="8" fillId="3" borderId="47" xfId="0" applyNumberFormat="1" applyFont="1" applyFill="1" applyBorder="1" applyAlignment="1">
      <alignment horizontal="center"/>
    </xf>
    <xf numFmtId="0" fontId="8" fillId="3" borderId="47" xfId="0" applyFont="1" applyFill="1" applyBorder="1"/>
    <xf numFmtId="0" fontId="8" fillId="3" borderId="43" xfId="0" applyFont="1" applyFill="1" applyBorder="1"/>
    <xf numFmtId="166" fontId="8" fillId="3" borderId="51" xfId="0" applyNumberFormat="1" applyFont="1" applyFill="1" applyBorder="1" applyAlignment="1">
      <alignment horizontal="center"/>
    </xf>
    <xf numFmtId="0" fontId="8" fillId="3" borderId="51" xfId="0" applyFont="1" applyFill="1" applyBorder="1" applyAlignment="1">
      <alignment horizontal="center"/>
    </xf>
    <xf numFmtId="164" fontId="8" fillId="3" borderId="51" xfId="0" applyNumberFormat="1" applyFont="1" applyFill="1" applyBorder="1" applyAlignment="1">
      <alignment horizontal="center"/>
    </xf>
    <xf numFmtId="0" fontId="7" fillId="2" borderId="48" xfId="4" applyFill="1" applyBorder="1" applyAlignment="1">
      <alignment horizontal="center"/>
    </xf>
    <xf numFmtId="166" fontId="8" fillId="10" borderId="43" xfId="0" applyNumberFormat="1" applyFont="1" applyFill="1" applyBorder="1" applyAlignment="1">
      <alignment horizontal="center"/>
    </xf>
    <xf numFmtId="0" fontId="8" fillId="10" borderId="43" xfId="0" applyFont="1" applyFill="1" applyBorder="1" applyAlignment="1">
      <alignment horizontal="center"/>
    </xf>
    <xf numFmtId="2" fontId="8" fillId="10" borderId="43" xfId="0" applyNumberFormat="1" applyFont="1" applyFill="1" applyBorder="1" applyAlignment="1">
      <alignment horizontal="center"/>
    </xf>
    <xf numFmtId="164" fontId="8" fillId="0" borderId="18" xfId="0" applyNumberFormat="1" applyFont="1" applyBorder="1" applyAlignment="1">
      <alignment horizontal="center"/>
    </xf>
    <xf numFmtId="164" fontId="8" fillId="3" borderId="18" xfId="0" applyNumberFormat="1" applyFont="1" applyFill="1" applyBorder="1" applyAlignment="1">
      <alignment horizontal="center"/>
    </xf>
    <xf numFmtId="16" fontId="0" fillId="0" borderId="0" xfId="0" applyNumberFormat="1"/>
    <xf numFmtId="0" fontId="28" fillId="0" borderId="0" xfId="0" applyFont="1" applyAlignment="1">
      <alignment horizontal="center"/>
    </xf>
    <xf numFmtId="16" fontId="0" fillId="0" borderId="0" xfId="0" applyNumberFormat="1" applyAlignment="1">
      <alignment horizontal="center"/>
    </xf>
    <xf numFmtId="0" fontId="8" fillId="0" borderId="19" xfId="5" applyBorder="1" applyAlignment="1">
      <alignment horizontal="center"/>
    </xf>
    <xf numFmtId="0" fontId="8" fillId="0" borderId="20" xfId="5" applyBorder="1" applyAlignment="1">
      <alignment horizontal="center"/>
    </xf>
    <xf numFmtId="0" fontId="9" fillId="4" borderId="10" xfId="3" applyFont="1" applyFill="1" applyBorder="1" applyAlignment="1">
      <alignment horizontal="center"/>
    </xf>
    <xf numFmtId="0" fontId="9" fillId="4" borderId="9" xfId="3" applyFont="1" applyFill="1" applyBorder="1" applyAlignment="1">
      <alignment horizontal="center"/>
    </xf>
    <xf numFmtId="0" fontId="11" fillId="4" borderId="7" xfId="3" applyFont="1" applyFill="1" applyBorder="1" applyAlignment="1">
      <alignment horizontal="center"/>
    </xf>
    <xf numFmtId="0" fontId="11" fillId="4" borderId="12" xfId="3" applyFont="1" applyFill="1" applyBorder="1" applyAlignment="1">
      <alignment horizontal="center"/>
    </xf>
    <xf numFmtId="0" fontId="9" fillId="4" borderId="7" xfId="3" applyFont="1" applyFill="1" applyBorder="1" applyAlignment="1">
      <alignment horizontal="center"/>
    </xf>
    <xf numFmtId="49" fontId="25" fillId="4" borderId="23" xfId="1" applyNumberFormat="1" applyFont="1" applyFill="1" applyBorder="1" applyAlignment="1">
      <alignment horizontal="center" vertical="center"/>
    </xf>
    <xf numFmtId="49" fontId="25" fillId="4" borderId="24" xfId="1" applyNumberFormat="1" applyFont="1" applyFill="1" applyBorder="1" applyAlignment="1">
      <alignment horizontal="center" vertical="center"/>
    </xf>
    <xf numFmtId="49" fontId="25" fillId="4" borderId="25" xfId="1" applyNumberFormat="1" applyFont="1" applyFill="1" applyBorder="1" applyAlignment="1">
      <alignment horizontal="center" vertical="center"/>
    </xf>
    <xf numFmtId="0" fontId="11" fillId="4" borderId="11" xfId="3" applyFont="1" applyFill="1" applyBorder="1" applyAlignment="1">
      <alignment horizontal="center"/>
    </xf>
    <xf numFmtId="0" fontId="11" fillId="4" borderId="49" xfId="3" applyFont="1" applyFill="1" applyBorder="1" applyAlignment="1">
      <alignment horizontal="center"/>
    </xf>
    <xf numFmtId="0" fontId="11" fillId="4" borderId="50" xfId="3" applyFont="1" applyFill="1" applyBorder="1" applyAlignment="1">
      <alignment horizontal="center"/>
    </xf>
    <xf numFmtId="0" fontId="8" fillId="0" borderId="2" xfId="5" applyAlignment="1">
      <alignment horizontal="center"/>
    </xf>
    <xf numFmtId="0" fontId="8" fillId="0" borderId="46" xfId="5" applyBorder="1" applyAlignment="1">
      <alignment horizontal="center"/>
    </xf>
    <xf numFmtId="0" fontId="0" fillId="0" borderId="0" xfId="0" applyAlignment="1">
      <alignment horizontal="center"/>
    </xf>
    <xf numFmtId="0" fontId="26" fillId="0" borderId="37" xfId="1" applyFont="1" applyFill="1" applyBorder="1" applyAlignment="1">
      <alignment horizontal="center"/>
    </xf>
    <xf numFmtId="0" fontId="26" fillId="0" borderId="38" xfId="1" applyFont="1" applyFill="1" applyBorder="1" applyAlignment="1">
      <alignment horizontal="center"/>
    </xf>
    <xf numFmtId="0" fontId="26" fillId="0" borderId="39" xfId="1" applyFont="1" applyFill="1" applyBorder="1" applyAlignment="1">
      <alignment horizontal="center"/>
    </xf>
    <xf numFmtId="0" fontId="27" fillId="0" borderId="26" xfId="2" applyFont="1" applyBorder="1" applyAlignment="1">
      <alignment horizontal="center"/>
    </xf>
    <xf numFmtId="0" fontId="27" fillId="0" borderId="7" xfId="2" applyFont="1" applyBorder="1" applyAlignment="1">
      <alignment horizontal="center"/>
    </xf>
    <xf numFmtId="0" fontId="27" fillId="0" borderId="27" xfId="2" applyFont="1" applyBorder="1" applyAlignment="1">
      <alignment horizontal="center"/>
    </xf>
  </cellXfs>
  <cellStyles count="16">
    <cellStyle name="20% - Accent6" xfId="14" builtinId="50"/>
    <cellStyle name="40% - Accent6" xfId="15" builtinId="51"/>
    <cellStyle name="Accent6" xfId="13" builtinId="49"/>
    <cellStyle name="Currency" xfId="11" builtinId="4"/>
    <cellStyle name="Heading 1" xfId="2" builtinId="16" customBuiltin="1"/>
    <cellStyle name="Heading 1 2" xfId="8" xr:uid="{1F2D0787-3BA6-9F4A-8276-F990D707EA06}"/>
    <cellStyle name="Heading 2" xfId="3" builtinId="17" customBuiltin="1"/>
    <cellStyle name="Heading 2 2" xfId="7" xr:uid="{8AF88C99-9491-6D4E-9285-07A15E803E65}"/>
    <cellStyle name="Heading 3" xfId="4" builtinId="18"/>
    <cellStyle name="Heading 3 2" xfId="9" xr:uid="{E13DFAE9-AA6B-5F4A-AB31-AC10FC04061D}"/>
    <cellStyle name="Normal" xfId="0" builtinId="0" customBuiltin="1"/>
    <cellStyle name="Normal 2" xfId="6" xr:uid="{2AABA23C-FB09-EC4B-8E31-D6FA1B1C12DB}"/>
    <cellStyle name="Percent" xfId="12" builtinId="5"/>
    <cellStyle name="Title" xfId="1" builtinId="15" customBuiltin="1"/>
    <cellStyle name="Title 2" xfId="10" xr:uid="{D89C605F-C546-084B-BC27-AB8786FEAF71}"/>
    <cellStyle name="Total" xfId="5" builtinId="25"/>
  </cellStyles>
  <dxfs count="5"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  <dxf>
      <font>
        <color theme="4"/>
      </font>
    </dxf>
    <dxf>
      <font>
        <b/>
        <i val="0"/>
        <color theme="3" tint="0.39991454817346722"/>
      </font>
    </dxf>
  </dxfs>
  <tableStyles count="2" defaultTableStyle="TableStyleMedium2" defaultPivotStyle="PivotStyleLight16">
    <tableStyle name="BudgetTable" pivot="0" count="2" xr9:uid="{00000000-0011-0000-FFFF-FFFF00000000}">
      <tableStyleElement type="wholeTable" dxfId="4"/>
      <tableStyleElement type="headerRow" dxfId="3"/>
    </tableStyle>
    <tableStyle name="Personal budget table" pivot="0" count="3" xr9:uid="{CDC6D3FC-8C8C-BB48-B693-CCBEF09A2885}">
      <tableStyleElement type="wholeTable" dxfId="2"/>
      <tableStyleElement type="headerRow" dxfId="1"/>
      <tableStyleElement type="totalRow" dxfId="0"/>
    </tableStyle>
  </tableStyles>
  <colors>
    <mruColors>
      <color rgb="FFEED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 Month's Income Spent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91C-EC4F-8B7B-F411149E22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91C-EC4F-8B7B-F411149E22E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098F585-6791-EE4B-BA3D-87B9220D8763}" type="CATEGORYNAME">
                      <a:rPr lang="en-US" sz="1600" b="1"/>
                      <a:pPr/>
                      <a:t>[CATEGORY NAME]</a:t>
                    </a:fld>
                    <a:endParaRPr lang="en-US" sz="1600" b="1" baseline="0"/>
                  </a:p>
                  <a:p>
                    <a:fld id="{7AE3C45C-BD5E-EE49-B002-B99F78482380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91C-EC4F-8B7B-F411149E22E5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</a:t>
                    </a:r>
                    <a:r>
                      <a:rPr lang="en-US" sz="1600" b="1" baseline="0"/>
                      <a:t> Income Spent</a:t>
                    </a:r>
                    <a:endParaRPr lang="en-US" sz="1600" b="1"/>
                  </a:p>
                  <a:p>
                    <a:pPr>
                      <a:defRPr/>
                    </a:pPr>
                    <a:fld id="{4C2DB116-8F84-234F-A815-ABDB657F0B28}" type="PERCENTAGE">
                      <a:rPr lang="en-US" sz="1600" b="1"/>
                      <a:pPr>
                        <a:defRPr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370885950348501"/>
                      <c:h val="0.1252102252476287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91C-EC4F-8B7B-F411149E22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Jan!$A$16:$A$17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Jan!$B$16:$B$17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1C-EC4F-8B7B-F411149E22E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 Month's Income Spent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13B-6E41-A89F-8AE4A4491F8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3B-6E41-A89F-8AE4A4491F8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098F585-6791-EE4B-BA3D-87B9220D8763}" type="CATEGORYNAME">
                      <a:rPr lang="en-US" sz="1600" b="1"/>
                      <a:pPr/>
                      <a:t>[CATEGORY NAME]</a:t>
                    </a:fld>
                    <a:endParaRPr lang="en-US" sz="1600" b="1" baseline="0"/>
                  </a:p>
                  <a:p>
                    <a:fld id="{7AE3C45C-BD5E-EE49-B002-B99F78482380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13B-6E41-A89F-8AE4A4491F88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</a:t>
                    </a:r>
                    <a:r>
                      <a:rPr lang="en-US" sz="1600" b="1" baseline="0"/>
                      <a:t> Income Spent</a:t>
                    </a:r>
                    <a:endParaRPr lang="en-US" sz="1600" b="1"/>
                  </a:p>
                  <a:p>
                    <a:pPr>
                      <a:defRPr/>
                    </a:pPr>
                    <a:fld id="{4C2DB116-8F84-234F-A815-ABDB657F0B28}" type="PERCENTAGE">
                      <a:rPr lang="en-US" sz="1600" b="1"/>
                      <a:pPr>
                        <a:defRPr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370885950348501"/>
                      <c:h val="0.1252102252476287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13B-6E41-A89F-8AE4A4491F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Feb!$A$16:$A$17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Feb!$B$16:$B$17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B-6E41-A89F-8AE4A4491F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 Month's Income Spent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649-4149-BD7E-EFD0C27C06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649-4149-BD7E-EFD0C27C060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sz="1600" b="1"/>
                      <a:t>Remaining Income</a:t>
                    </a:r>
                  </a:p>
                  <a:p>
                    <a:fld id="{879CB1ED-823D-8240-A9E9-48CF2ADF4F34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649-4149-BD7E-EFD0C27C06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600"/>
                      <a:t>% of Income</a:t>
                    </a:r>
                    <a:r>
                      <a:rPr lang="en-US" sz="1600" baseline="0"/>
                      <a:t> </a:t>
                    </a:r>
                    <a:r>
                      <a:rPr lang="en-US" sz="1600"/>
                      <a:t>Spent</a:t>
                    </a:r>
                  </a:p>
                  <a:p>
                    <a:fld id="{3310B8DC-3C08-9C41-9FAE-03AE67E07F9F}" type="PERCENTAGE">
                      <a:rPr lang="en-US" sz="1600"/>
                      <a:pPr/>
                      <a:t>[PERCENTAGE]</a:t>
                    </a:fld>
                    <a:endParaRPr lang="en-US"/>
                  </a:p>
                </c:rich>
              </c:tx>
              <c:dLblPos val="ctr"/>
              <c:showLegendKey val="1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4649-4149-BD7E-EFD0C27C060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Mar!$E$24:$E$25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Mar!$F$24:$F$25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9-4149-BD7E-EFD0C27C060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928-0948-BEF2-B2F83F3BEB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928-0948-BEF2-B2F83F3BEB8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888297401799023"/>
                      <c:h val="0.142848553268997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928-0948-BEF2-B2F83F3BEB8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978595607592485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2928-0948-BEF2-B2F83F3BE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Apr!$E$20:$E$21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Apr!$F$20:$F$21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8-0948-BEF2-B2F83F3BEB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BD2-C64A-86F3-2ED7E2DE062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BD2-C64A-86F3-2ED7E2DE062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603875969860287"/>
                      <c:h val="0.142848553268997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BD2-C64A-86F3-2ED7E2DE062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</a:t>
                    </a:r>
                    <a:r>
                      <a:rPr lang="en-US" sz="1600" b="1" baseline="0"/>
                      <a:t>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414277731929442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BD2-C64A-86F3-2ED7E2DE06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May!$E$17:$E$18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May!$F$17:$F$18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2-C64A-86F3-2ED7E2DE06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4F-024A-818A-F31056A8AF2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D4F-024A-818A-F31056A8AF2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163668857308904"/>
                      <c:h val="0.142848553268997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D4F-024A-818A-F31056A8AF2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551963459684381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D4F-024A-818A-F31056A8AF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Jun!$E$17:$E$18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Jun!$F$17:$F$18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4F-024A-818A-F31056A8AF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1A-F148-9587-D2BA771C411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1A-F148-9587-D2BA771C411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746086685829655"/>
                      <c:h val="9.742666305903964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61A-F148-9587-D2BA771C411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09752743715013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61A-F148-9587-D2BA771C41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Jul!$E$17:$E$18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Jul!$F$17:$F$18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1A-F148-9587-D2BA771C411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481-0D4E-AEA2-94377C5BA5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481-0D4E-AEA2-94377C5BA5E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035033105982812"/>
                      <c:h val="9.742666305903964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481-0D4E-AEA2-94377C5BA5E0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</a:t>
                    </a:r>
                    <a:r>
                      <a:rPr lang="en-US" sz="1600" b="1" baseline="0"/>
                      <a:t>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12533131177628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481-0D4E-AEA2-94377C5BA5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Aug!$E$17:$E$18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Aug!$F$17:$F$18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81-0D4E-AEA2-94377C5BA5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E84-8141-95DF-61487296C3E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E84-8141-95DF-61487296C3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746086685829655"/>
                      <c:h val="0.142848553268997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E84-8141-95DF-61487296C3E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561013436113236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BE84-8141-95DF-61487296C3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Sep!$E$17:$E$18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Sep!$F$17:$F$18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84-8141-95DF-61487296C3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906-474B-BCDE-B9599B4F1C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906-474B-BCDE-B9599B4F1CD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741561697615228"/>
                      <c:h val="0.142848553268997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906-474B-BCDE-B9599B4F1CD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698699163868175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906-474B-BCDE-B9599B4F1C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Oct!$E$17:$E$18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Oct!$F$17:$F$18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06-474B-BCDE-B9599B4F1CD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FE-E748-A442-7A990B352AA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FE-E748-A442-7A990B352AA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9723461744757518"/>
                      <c:h val="0.142848553268997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4FE-E748-A442-7A990B352AA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 Income Spent</a:t>
                    </a: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267542027745648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4FE-E748-A442-7A990B352A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Nov!$E$17:$E$18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Nov!$F$17:$F$18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FE-E748-A442-7A990B352A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400"/>
              <a:t>% of This</a:t>
            </a:r>
            <a:r>
              <a:rPr lang="en-US" sz="2400" baseline="0"/>
              <a:t> Month's Income Spent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72-254E-9DDA-DFDFB578D9D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72-254E-9DDA-DFDFB578D9D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C580A0A-8B29-9D46-AE2F-CC90F5F37549}" type="CATEGORYNAME">
                      <a:rPr lang="en-US" sz="1800" b="1"/>
                      <a:pPr/>
                      <a:t>[CATEGORY NAME]</a:t>
                    </a:fld>
                    <a:r>
                      <a:rPr lang="en-US" sz="1800" b="1"/>
                      <a:t> Income</a:t>
                    </a:r>
                    <a:endParaRPr lang="en-US" sz="1800" b="1" baseline="0"/>
                  </a:p>
                  <a:p>
                    <a:fld id="{D7AC70F6-17FD-AC46-A2AD-F64DA21274AC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030508117768391"/>
                      <c:h val="0.142848553268997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72-254E-9DDA-DFDFB578D9D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% of Income Spent</a:t>
                    </a:r>
                  </a:p>
                  <a:p>
                    <a:pPr>
                      <a:defRPr sz="1400" b="1"/>
                    </a:pPr>
                    <a:endParaRPr lang="en-US" sz="900" b="1" baseline="0"/>
                  </a:p>
                  <a:p>
                    <a:pPr>
                      <a:defRPr sz="1400" b="1"/>
                    </a:pPr>
                    <a:fld id="{A0E767F9-BD83-EB4E-BEE2-A6ABA1DC272F}" type="PERCENTAGE">
                      <a:rPr lang="en-US" sz="1600" b="1"/>
                      <a:pPr>
                        <a:defRPr sz="1400" b="1"/>
                      </a:pPr>
                      <a:t>[PERCENTAGE]</a:t>
                    </a:fld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996695560450193"/>
                      <c:h val="0.24203065169847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E72-254E-9DDA-DFDFB578D9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Dec!$E$17:$E$18</c:f>
              <c:strCache>
                <c:ptCount val="2"/>
                <c:pt idx="0">
                  <c:v>Remaining</c:v>
                </c:pt>
                <c:pt idx="1">
                  <c:v>Amount Spent</c:v>
                </c:pt>
              </c:strCache>
            </c:strRef>
          </c:cat>
          <c:val>
            <c:numRef>
              <c:f>Dec!$F$17:$F$18</c:f>
              <c:numCache>
                <c:formatCode>"$"#,##0.00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72-254E-9DDA-DFDFB578D9D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11545</xdr:colOff>
      <xdr:row>14</xdr:row>
      <xdr:rowOff>123535</xdr:rowOff>
    </xdr:from>
    <xdr:to>
      <xdr:col>9</xdr:col>
      <xdr:colOff>404089</xdr:colOff>
      <xdr:row>42</xdr:row>
      <xdr:rowOff>196273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4BD88-20EE-BC47-8FA2-2AD5A0304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11545</xdr:colOff>
      <xdr:row>14</xdr:row>
      <xdr:rowOff>123535</xdr:rowOff>
    </xdr:from>
    <xdr:to>
      <xdr:col>9</xdr:col>
      <xdr:colOff>404089</xdr:colOff>
      <xdr:row>42</xdr:row>
      <xdr:rowOff>196273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B38B33-D35F-CBD6-D3BA-9778C18FA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150088</xdr:rowOff>
    </xdr:from>
    <xdr:to>
      <xdr:col>8</xdr:col>
      <xdr:colOff>935181</xdr:colOff>
      <xdr:row>50</xdr:row>
      <xdr:rowOff>92363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997790-100D-D85E-8844-EC90EF0834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158170</xdr:rowOff>
    </xdr:from>
    <xdr:to>
      <xdr:col>9</xdr:col>
      <xdr:colOff>305955</xdr:colOff>
      <xdr:row>45</xdr:row>
      <xdr:rowOff>115454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73F2DF-7091-326E-800B-6F79B23630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536ACC-BD01-D442-AB4F-245612887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68EFC1-507B-334F-A704-8E6D0F828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33ACF-6FA6-D544-8577-BF9F42C7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C39550-EFC2-6347-886A-0278326D4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FEF52B-A775-DA44-BF8E-79B70E0C0D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E12F88-0348-D348-BC76-EEE58570D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9B9251-2903-0C49-A6D3-6D428055E5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14</xdr:row>
      <xdr:rowOff>181261</xdr:rowOff>
    </xdr:from>
    <xdr:to>
      <xdr:col>9</xdr:col>
      <xdr:colOff>323273</xdr:colOff>
      <xdr:row>42</xdr:row>
      <xdr:rowOff>138545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934261-686E-D745-A6A8-360495D73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 Budget">
      <a:dk1>
        <a:sysClr val="windowText" lastClr="000000"/>
      </a:dk1>
      <a:lt1>
        <a:sysClr val="window" lastClr="FFFFFF"/>
      </a:lt1>
      <a:dk2>
        <a:srgbClr val="282C27"/>
      </a:dk2>
      <a:lt2>
        <a:srgbClr val="EBEDE6"/>
      </a:lt2>
      <a:accent1>
        <a:srgbClr val="91BD30"/>
      </a:accent1>
      <a:accent2>
        <a:srgbClr val="EB6982"/>
      </a:accent2>
      <a:accent3>
        <a:srgbClr val="40B0C2"/>
      </a:accent3>
      <a:accent4>
        <a:srgbClr val="E6C73D"/>
      </a:accent4>
      <a:accent5>
        <a:srgbClr val="A68C75"/>
      </a:accent5>
      <a:accent6>
        <a:srgbClr val="A64F8F"/>
      </a:accent6>
      <a:hlink>
        <a:srgbClr val="40B0C2"/>
      </a:hlink>
      <a:folHlink>
        <a:srgbClr val="A64F8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0EECB-70CA-774A-A5D8-3A681BF2CE6C}">
  <sheetPr>
    <tabColor theme="6" tint="-0.249977111117893"/>
  </sheetPr>
  <dimension ref="A1:S18"/>
  <sheetViews>
    <sheetView tabSelected="1" zoomScale="110" workbookViewId="0">
      <selection activeCell="L14" sqref="L14"/>
    </sheetView>
  </sheetViews>
  <sheetFormatPr baseColWidth="10" defaultRowHeight="16"/>
  <cols>
    <col min="5" max="5" width="12.85546875" bestFit="1" customWidth="1"/>
    <col min="8" max="8" width="11" bestFit="1" customWidth="1"/>
    <col min="10" max="10" width="5.7109375" customWidth="1"/>
    <col min="12" max="12" width="20" bestFit="1" customWidth="1"/>
    <col min="18" max="18" width="21.5703125" bestFit="1" customWidth="1"/>
  </cols>
  <sheetData>
    <row r="1" spans="1:19" ht="37">
      <c r="A1" s="114" t="s">
        <v>23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9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9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9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9" ht="17" thickBot="1">
      <c r="A5" s="20"/>
      <c r="B5" s="14"/>
      <c r="C5" s="15"/>
      <c r="D5" s="73"/>
      <c r="E5" s="72"/>
      <c r="F5" s="74"/>
      <c r="G5" s="13"/>
      <c r="H5" s="14"/>
      <c r="I5" s="31"/>
      <c r="K5" s="13"/>
      <c r="L5" s="14"/>
      <c r="M5" s="31"/>
      <c r="N5" s="13"/>
      <c r="O5" s="16"/>
      <c r="P5" s="21"/>
    </row>
    <row r="6" spans="1:19" ht="17" thickBot="1">
      <c r="A6" s="22"/>
      <c r="B6" s="9"/>
      <c r="C6" s="10"/>
      <c r="D6" s="77"/>
      <c r="E6" s="76"/>
      <c r="F6" s="90"/>
      <c r="G6" s="8"/>
      <c r="H6" s="9"/>
      <c r="I6" s="32"/>
      <c r="K6" s="8"/>
      <c r="L6" s="4"/>
      <c r="M6" s="5"/>
      <c r="N6" s="8"/>
      <c r="O6" s="4"/>
      <c r="P6" s="23"/>
    </row>
    <row r="7" spans="1:19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9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9" ht="17" thickBot="1">
      <c r="A9" s="24"/>
      <c r="B9" s="7"/>
      <c r="C9" s="11"/>
      <c r="D9" s="6"/>
      <c r="E9" s="7"/>
      <c r="F9" s="35"/>
      <c r="G9" s="6"/>
      <c r="H9" s="7"/>
      <c r="I9" s="33"/>
      <c r="K9" s="6"/>
      <c r="L9" s="2"/>
      <c r="M9" s="3"/>
      <c r="N9" s="6"/>
      <c r="O9" s="2"/>
      <c r="P9" s="25"/>
    </row>
    <row r="10" spans="1:19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9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9">
      <c r="A12" s="107" t="s">
        <v>13</v>
      </c>
      <c r="B12" s="108"/>
      <c r="C12" s="27">
        <f>SUBTOTAL(103,Jan!$C$5:$C$11)</f>
        <v>0</v>
      </c>
      <c r="D12" s="107" t="s">
        <v>13</v>
      </c>
      <c r="E12" s="108"/>
      <c r="F12" s="27">
        <f>SUM(F5:F11)</f>
        <v>0</v>
      </c>
      <c r="G12" s="107" t="s">
        <v>13</v>
      </c>
      <c r="H12" s="108"/>
      <c r="I12" s="28">
        <f>SUBTOTAL(109,Jan!$I$5:$I$11)</f>
        <v>0</v>
      </c>
      <c r="J12" s="29"/>
      <c r="K12" s="107" t="s">
        <v>13</v>
      </c>
      <c r="L12" s="108"/>
      <c r="M12" s="26">
        <f>SUM(M5:M11)</f>
        <v>0</v>
      </c>
      <c r="N12" s="107" t="s">
        <v>13</v>
      </c>
      <c r="O12" s="108"/>
      <c r="P12" s="26">
        <f>SUBTOTAL(103,Jan!$P$5:$P$11)</f>
        <v>0</v>
      </c>
      <c r="S12" s="36"/>
    </row>
    <row r="14" spans="1:19" ht="21" thickBot="1">
      <c r="A14" s="38" t="s">
        <v>15</v>
      </c>
      <c r="B14" s="37">
        <f>0</f>
        <v>0</v>
      </c>
      <c r="O14" s="38" t="s">
        <v>16</v>
      </c>
      <c r="P14" s="37">
        <f>B14+(M12+P12)-(C12+F12+I12)</f>
        <v>0</v>
      </c>
    </row>
    <row r="15" spans="1:19" ht="17" thickTop="1">
      <c r="F15" s="36"/>
      <c r="M15" s="36"/>
    </row>
    <row r="16" spans="1:19">
      <c r="A16" t="s">
        <v>37</v>
      </c>
      <c r="B16" s="36">
        <f>(M12+P12)-(C12+F12+I12)</f>
        <v>0</v>
      </c>
    </row>
    <row r="17" spans="1:2">
      <c r="A17" t="s">
        <v>36</v>
      </c>
      <c r="B17" s="36">
        <f>C12+F12+I12</f>
        <v>0</v>
      </c>
    </row>
    <row r="18" spans="1:2">
      <c r="A18" t="s">
        <v>3</v>
      </c>
      <c r="B18" s="65" t="e">
        <f>(C12+F12+I12)/(M12+P12)</f>
        <v>#DIV/0!</v>
      </c>
    </row>
  </sheetData>
  <mergeCells count="13">
    <mergeCell ref="A12:B12"/>
    <mergeCell ref="D12:E12"/>
    <mergeCell ref="G12:H12"/>
    <mergeCell ref="K12:L12"/>
    <mergeCell ref="N12:O12"/>
    <mergeCell ref="A1:P1"/>
    <mergeCell ref="A2:I2"/>
    <mergeCell ref="K2:P2"/>
    <mergeCell ref="A3:C3"/>
    <mergeCell ref="D3:F3"/>
    <mergeCell ref="G3:I3"/>
    <mergeCell ref="K3:M3"/>
    <mergeCell ref="N3:P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EC-61F5-5243-A379-2AC64A2C9183}">
  <sheetPr>
    <tabColor theme="5"/>
  </sheetPr>
  <dimension ref="A1:S18"/>
  <sheetViews>
    <sheetView zoomScale="110" workbookViewId="0">
      <selection activeCell="A2" sqref="A2:I2"/>
    </sheetView>
  </sheetViews>
  <sheetFormatPr baseColWidth="10" defaultRowHeight="16"/>
  <cols>
    <col min="5" max="5" width="12.85546875" bestFit="1" customWidth="1"/>
    <col min="8" max="8" width="11" bestFit="1" customWidth="1"/>
    <col min="10" max="10" width="5.7109375" customWidth="1"/>
    <col min="12" max="12" width="20" bestFit="1" customWidth="1"/>
    <col min="18" max="18" width="21.5703125" bestFit="1" customWidth="1"/>
  </cols>
  <sheetData>
    <row r="1" spans="1:19" ht="37">
      <c r="A1" s="114" t="s">
        <v>24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9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9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9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9" ht="17" thickBot="1">
      <c r="A5" s="20"/>
      <c r="B5" s="14"/>
      <c r="C5" s="15"/>
      <c r="D5" s="73"/>
      <c r="E5" s="72"/>
      <c r="F5" s="74"/>
      <c r="G5" s="13"/>
      <c r="H5" s="14"/>
      <c r="I5" s="31"/>
      <c r="K5" s="13"/>
      <c r="L5" s="14"/>
      <c r="M5" s="31"/>
      <c r="N5" s="13"/>
      <c r="O5" s="16"/>
      <c r="P5" s="21"/>
    </row>
    <row r="6" spans="1:19" ht="17" thickBot="1">
      <c r="A6" s="22"/>
      <c r="B6" s="9"/>
      <c r="C6" s="10"/>
      <c r="D6" s="77"/>
      <c r="E6" s="76"/>
      <c r="F6" s="90"/>
      <c r="G6" s="8"/>
      <c r="H6" s="9"/>
      <c r="I6" s="32"/>
      <c r="K6" s="8"/>
      <c r="L6" s="4"/>
      <c r="M6" s="5"/>
      <c r="N6" s="8"/>
      <c r="O6" s="4"/>
      <c r="P6" s="23"/>
    </row>
    <row r="7" spans="1:19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9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9" ht="17" thickBot="1">
      <c r="A9" s="24"/>
      <c r="B9" s="7"/>
      <c r="C9" s="11"/>
      <c r="D9" s="6"/>
      <c r="E9" s="7"/>
      <c r="F9" s="35"/>
      <c r="G9" s="6"/>
      <c r="H9" s="7"/>
      <c r="I9" s="33"/>
      <c r="K9" s="6"/>
      <c r="L9" s="2"/>
      <c r="M9" s="3"/>
      <c r="N9" s="6"/>
      <c r="O9" s="2"/>
      <c r="P9" s="25"/>
    </row>
    <row r="10" spans="1:19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9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9">
      <c r="A12" s="107" t="s">
        <v>13</v>
      </c>
      <c r="B12" s="108"/>
      <c r="C12" s="27">
        <f>SUBTOTAL(103,Feb!$C$5:$C$11)</f>
        <v>0</v>
      </c>
      <c r="D12" s="107" t="s">
        <v>13</v>
      </c>
      <c r="E12" s="108"/>
      <c r="F12" s="27">
        <f>SUM(F5:F11)</f>
        <v>0</v>
      </c>
      <c r="G12" s="107" t="s">
        <v>13</v>
      </c>
      <c r="H12" s="108"/>
      <c r="I12" s="28">
        <f>SUBTOTAL(109,Feb!$I$5:$I$11)</f>
        <v>0</v>
      </c>
      <c r="J12" s="29"/>
      <c r="K12" s="107" t="s">
        <v>13</v>
      </c>
      <c r="L12" s="108"/>
      <c r="M12" s="26">
        <f>SUM(M5:M11)</f>
        <v>0</v>
      </c>
      <c r="N12" s="107" t="s">
        <v>13</v>
      </c>
      <c r="O12" s="108"/>
      <c r="P12" s="26">
        <f>SUBTOTAL(103,Feb!$P$5:$P$11)</f>
        <v>0</v>
      </c>
      <c r="S12" s="36"/>
    </row>
    <row r="14" spans="1:19" ht="21" thickBot="1">
      <c r="A14" s="38" t="s">
        <v>15</v>
      </c>
      <c r="B14" s="37">
        <f>0</f>
        <v>0</v>
      </c>
      <c r="O14" s="38" t="s">
        <v>16</v>
      </c>
      <c r="P14" s="37">
        <f>B14+(M12+P12)-(C12+F12+I12)</f>
        <v>0</v>
      </c>
    </row>
    <row r="15" spans="1:19" ht="17" thickTop="1">
      <c r="F15" s="36"/>
      <c r="M15" s="36"/>
    </row>
    <row r="16" spans="1:19">
      <c r="A16" t="s">
        <v>37</v>
      </c>
      <c r="B16" s="36">
        <f>(M12+P12)-(C12+F12+I12)</f>
        <v>0</v>
      </c>
    </row>
    <row r="17" spans="1:2">
      <c r="A17" t="s">
        <v>36</v>
      </c>
      <c r="B17" s="36">
        <f>C12+F12+I12</f>
        <v>0</v>
      </c>
    </row>
    <row r="18" spans="1:2">
      <c r="A18" t="s">
        <v>3</v>
      </c>
      <c r="B18" s="65" t="e">
        <f>(C12+F12+I12)/(M12+P12)</f>
        <v>#DIV/0!</v>
      </c>
    </row>
  </sheetData>
  <mergeCells count="13">
    <mergeCell ref="A2:I2"/>
    <mergeCell ref="K3:M3"/>
    <mergeCell ref="N3:P3"/>
    <mergeCell ref="K2:P2"/>
    <mergeCell ref="A1:P1"/>
    <mergeCell ref="A3:C3"/>
    <mergeCell ref="D3:F3"/>
    <mergeCell ref="G3:I3"/>
    <mergeCell ref="K12:L12"/>
    <mergeCell ref="N12:O12"/>
    <mergeCell ref="G12:H12"/>
    <mergeCell ref="D12:E12"/>
    <mergeCell ref="A12:B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D7725-4D90-9243-8D8B-3441E7E58CE4}">
  <sheetPr>
    <tabColor theme="8"/>
  </sheetPr>
  <dimension ref="A1:P26"/>
  <sheetViews>
    <sheetView zoomScale="110" workbookViewId="0">
      <selection activeCell="K5" sqref="K5:N7"/>
    </sheetView>
  </sheetViews>
  <sheetFormatPr baseColWidth="10" defaultRowHeight="16"/>
  <cols>
    <col min="5" max="5" width="16.42578125" bestFit="1" customWidth="1"/>
    <col min="7" max="7" width="10.7109375" customWidth="1"/>
    <col min="8" max="8" width="14.140625" bestFit="1" customWidth="1"/>
    <col min="10" max="10" width="5.7109375" customWidth="1"/>
    <col min="12" max="12" width="20" bestFit="1" customWidth="1"/>
  </cols>
  <sheetData>
    <row r="1" spans="1:16" ht="37">
      <c r="A1" s="114" t="s">
        <v>17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6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6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8" t="s">
        <v>12</v>
      </c>
      <c r="L3" s="118"/>
      <c r="M3" s="118"/>
      <c r="N3" s="118" t="s">
        <v>0</v>
      </c>
      <c r="O3" s="118"/>
      <c r="P3" s="119"/>
    </row>
    <row r="4" spans="1:16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98" t="s">
        <v>2</v>
      </c>
      <c r="L4" s="98" t="s">
        <v>10</v>
      </c>
      <c r="M4" s="98" t="s">
        <v>1</v>
      </c>
      <c r="N4" s="98" t="s">
        <v>2</v>
      </c>
      <c r="O4" s="98" t="s">
        <v>10</v>
      </c>
      <c r="P4" s="98" t="s">
        <v>1</v>
      </c>
    </row>
    <row r="5" spans="1:16" ht="17" thickBot="1">
      <c r="A5" s="71"/>
      <c r="B5" s="72"/>
      <c r="C5" s="72"/>
      <c r="D5" s="73"/>
      <c r="E5" s="72"/>
      <c r="F5" s="74"/>
      <c r="G5" s="73"/>
      <c r="H5" s="72"/>
      <c r="I5" s="74"/>
      <c r="K5" s="95"/>
      <c r="L5" s="96"/>
      <c r="M5" s="97"/>
      <c r="N5" s="95"/>
      <c r="O5" s="96"/>
      <c r="P5" s="97"/>
    </row>
    <row r="6" spans="1:16" ht="17" thickBot="1">
      <c r="A6" s="75"/>
      <c r="B6" s="76"/>
      <c r="C6" s="76"/>
      <c r="D6" s="77"/>
      <c r="E6" s="76"/>
      <c r="F6" s="90"/>
      <c r="G6" s="77"/>
      <c r="H6" s="76"/>
      <c r="I6" s="84"/>
      <c r="K6" s="77"/>
      <c r="L6" s="76"/>
      <c r="M6" s="90"/>
      <c r="N6" s="77"/>
      <c r="O6" s="76"/>
      <c r="P6" s="78"/>
    </row>
    <row r="7" spans="1:16" ht="17" thickBot="1">
      <c r="A7" s="79"/>
      <c r="B7" s="80"/>
      <c r="C7" s="80"/>
      <c r="D7" s="81"/>
      <c r="E7" s="80"/>
      <c r="F7" s="82"/>
      <c r="G7" s="99"/>
      <c r="H7" s="100"/>
      <c r="I7" s="101"/>
      <c r="K7" s="6"/>
      <c r="L7" s="2"/>
      <c r="M7" s="3"/>
      <c r="N7" s="6"/>
      <c r="O7" s="2"/>
      <c r="P7" s="25"/>
    </row>
    <row r="8" spans="1:16" ht="17" thickBot="1">
      <c r="A8" s="75"/>
      <c r="B8" s="76"/>
      <c r="C8" s="76"/>
      <c r="D8" s="77"/>
      <c r="E8" s="76"/>
      <c r="F8" s="90"/>
      <c r="G8" s="87"/>
      <c r="H8" s="86"/>
      <c r="I8" s="89"/>
      <c r="K8" s="77"/>
      <c r="L8" s="76"/>
      <c r="M8" s="90"/>
      <c r="N8" s="77"/>
      <c r="O8" s="76"/>
      <c r="P8" s="78"/>
    </row>
    <row r="9" spans="1:16" ht="17" thickBot="1">
      <c r="A9" s="79"/>
      <c r="B9" s="80"/>
      <c r="C9" s="80"/>
      <c r="D9" s="81"/>
      <c r="E9" s="80"/>
      <c r="F9" s="82"/>
      <c r="G9" s="81"/>
      <c r="H9" s="80"/>
      <c r="I9" s="83"/>
      <c r="K9" s="6"/>
      <c r="L9" s="2"/>
      <c r="M9" s="3"/>
      <c r="N9" s="6"/>
      <c r="O9" s="2"/>
      <c r="P9" s="25"/>
    </row>
    <row r="10" spans="1:16" ht="17" thickBot="1">
      <c r="A10" s="85"/>
      <c r="B10" s="86"/>
      <c r="C10" s="86"/>
      <c r="D10" s="87"/>
      <c r="E10" s="86"/>
      <c r="F10" s="88"/>
      <c r="G10" s="77"/>
      <c r="H10" s="76"/>
      <c r="I10" s="84"/>
      <c r="K10" s="77"/>
      <c r="L10" s="76"/>
      <c r="M10" s="90"/>
      <c r="N10" s="77"/>
      <c r="O10" s="76"/>
      <c r="P10" s="78"/>
    </row>
    <row r="11" spans="1:16" ht="17" thickBot="1">
      <c r="A11" s="79"/>
      <c r="B11" s="80"/>
      <c r="C11" s="80"/>
      <c r="D11" s="81"/>
      <c r="E11" s="80"/>
      <c r="F11" s="82"/>
      <c r="G11" s="81"/>
      <c r="H11" s="80"/>
      <c r="I11" s="83"/>
      <c r="K11" s="6"/>
      <c r="L11" s="2"/>
      <c r="M11" s="3"/>
      <c r="N11" s="6"/>
      <c r="O11" s="2"/>
      <c r="P11" s="25"/>
    </row>
    <row r="12" spans="1:16" ht="17" thickBot="1">
      <c r="A12" s="85"/>
      <c r="B12" s="86"/>
      <c r="C12" s="86"/>
      <c r="D12" s="87"/>
      <c r="E12" s="86"/>
      <c r="F12" s="88"/>
      <c r="G12" s="87"/>
      <c r="H12" s="86"/>
      <c r="I12" s="89"/>
      <c r="K12" s="77"/>
      <c r="L12" s="76"/>
      <c r="M12" s="90"/>
      <c r="N12" s="77"/>
      <c r="O12" s="76"/>
      <c r="P12" s="78"/>
    </row>
    <row r="13" spans="1:16" ht="17" thickBot="1">
      <c r="A13" s="79"/>
      <c r="B13" s="80"/>
      <c r="C13" s="80"/>
      <c r="D13" s="81"/>
      <c r="E13" s="80"/>
      <c r="F13" s="82"/>
      <c r="G13" s="81"/>
      <c r="H13" s="80"/>
      <c r="I13" s="83"/>
      <c r="K13" s="6"/>
      <c r="L13" s="2"/>
      <c r="M13" s="3"/>
      <c r="N13" s="6"/>
      <c r="O13" s="2"/>
      <c r="P13" s="25"/>
    </row>
    <row r="14" spans="1:16" ht="17" thickBot="1">
      <c r="A14" s="85"/>
      <c r="B14" s="86"/>
      <c r="C14" s="86"/>
      <c r="D14" s="87"/>
      <c r="E14" s="86"/>
      <c r="F14" s="88"/>
      <c r="G14" s="87"/>
      <c r="H14" s="86"/>
      <c r="I14" s="89"/>
      <c r="K14" s="77"/>
      <c r="L14" s="76"/>
      <c r="M14" s="90"/>
      <c r="N14" s="77"/>
      <c r="O14" s="76"/>
      <c r="P14" s="78"/>
    </row>
    <row r="15" spans="1:16" ht="17" thickBot="1">
      <c r="A15" s="79"/>
      <c r="B15" s="80"/>
      <c r="C15" s="80"/>
      <c r="D15" s="81"/>
      <c r="E15" s="80"/>
      <c r="F15" s="82"/>
      <c r="G15" s="81"/>
      <c r="H15" s="80"/>
      <c r="I15" s="83"/>
      <c r="K15" s="6"/>
      <c r="L15" s="2"/>
      <c r="M15" s="3"/>
      <c r="N15" s="6"/>
      <c r="O15" s="2"/>
      <c r="P15" s="25"/>
    </row>
    <row r="16" spans="1:16" ht="17" thickBot="1">
      <c r="A16" s="85"/>
      <c r="B16" s="86"/>
      <c r="C16" s="86"/>
      <c r="D16" s="87"/>
      <c r="E16" s="86"/>
      <c r="F16" s="88"/>
      <c r="G16" s="87"/>
      <c r="H16" s="86"/>
      <c r="I16" s="89"/>
      <c r="K16" s="77"/>
      <c r="L16" s="76"/>
      <c r="M16" s="90"/>
      <c r="N16" s="77"/>
      <c r="O16" s="76"/>
      <c r="P16" s="78"/>
    </row>
    <row r="17" spans="1:16" ht="17" thickBot="1">
      <c r="A17" s="79"/>
      <c r="B17" s="80"/>
      <c r="C17" s="80"/>
      <c r="D17" s="81"/>
      <c r="E17" s="80"/>
      <c r="F17" s="82"/>
      <c r="G17" s="81"/>
      <c r="H17" s="80"/>
      <c r="I17" s="83"/>
      <c r="K17" s="92"/>
      <c r="L17" s="93"/>
      <c r="M17" s="94"/>
      <c r="N17" s="92"/>
      <c r="O17" s="93"/>
      <c r="P17" s="94"/>
    </row>
    <row r="18" spans="1:16" ht="17" thickBot="1">
      <c r="A18" s="85"/>
      <c r="B18" s="86"/>
      <c r="C18" s="86"/>
      <c r="D18" s="87"/>
      <c r="E18" s="86"/>
      <c r="F18" s="88"/>
      <c r="G18" s="87"/>
      <c r="H18" s="86"/>
      <c r="I18" s="89"/>
      <c r="K18" s="77"/>
      <c r="L18" s="76"/>
      <c r="M18" s="90"/>
      <c r="N18" s="77"/>
      <c r="O18" s="76"/>
      <c r="P18" s="78"/>
    </row>
    <row r="19" spans="1:16" ht="17" thickBot="1">
      <c r="A19" s="79"/>
      <c r="B19" s="80"/>
      <c r="C19" s="80"/>
      <c r="D19" s="81"/>
      <c r="E19" s="80"/>
      <c r="F19" s="82"/>
      <c r="G19" s="81"/>
      <c r="H19" s="80"/>
      <c r="I19" s="83"/>
      <c r="K19" s="92"/>
      <c r="L19" s="93"/>
      <c r="M19" s="94"/>
      <c r="N19" s="92"/>
      <c r="O19" s="93"/>
      <c r="P19" s="94"/>
    </row>
    <row r="20" spans="1:16" ht="17" thickBot="1">
      <c r="A20" s="120" t="s">
        <v>20</v>
      </c>
      <c r="B20" s="120"/>
      <c r="C20" s="69">
        <f>SUBTOTAL(103,Mar!$C$5:$C$17)</f>
        <v>0</v>
      </c>
      <c r="D20" s="120" t="s">
        <v>18</v>
      </c>
      <c r="E20" s="120"/>
      <c r="F20" s="69">
        <f>SUM(F5:F19)</f>
        <v>0</v>
      </c>
      <c r="G20" s="120" t="s">
        <v>19</v>
      </c>
      <c r="H20" s="120"/>
      <c r="I20" s="70">
        <f>SUBTOTAL(109,Mar!$I$5:$I$17)</f>
        <v>0</v>
      </c>
      <c r="J20" s="29"/>
      <c r="K20" s="121" t="s">
        <v>21</v>
      </c>
      <c r="L20" s="121"/>
      <c r="M20" s="91">
        <f>SUM(M5:M17)</f>
        <v>0</v>
      </c>
      <c r="N20" s="121" t="s">
        <v>22</v>
      </c>
      <c r="O20" s="121"/>
      <c r="P20" s="91">
        <f>SUBTOTAL(103,Mar!$P$5:$P$17)</f>
        <v>0</v>
      </c>
    </row>
    <row r="21" spans="1:16" ht="17" thickTop="1"/>
    <row r="22" spans="1:16" ht="27" customHeight="1" thickBot="1">
      <c r="A22" s="68" t="s">
        <v>15</v>
      </c>
      <c r="B22" s="67">
        <f>Feb!$P$14</f>
        <v>0</v>
      </c>
      <c r="O22" s="68" t="s">
        <v>16</v>
      </c>
      <c r="P22" s="67">
        <f>B22+(M20+P20)-(C20+F20+I20)</f>
        <v>0</v>
      </c>
    </row>
    <row r="23" spans="1:16" ht="17" thickTop="1"/>
    <row r="24" spans="1:16">
      <c r="C24" s="41"/>
      <c r="E24" t="s">
        <v>37</v>
      </c>
      <c r="F24" s="36">
        <f>(M20+P20)-(C20+F20+I20)</f>
        <v>0</v>
      </c>
    </row>
    <row r="25" spans="1:16">
      <c r="E25" t="s">
        <v>36</v>
      </c>
      <c r="F25" s="36">
        <f>C20+F20+I20</f>
        <v>0</v>
      </c>
    </row>
    <row r="26" spans="1:16">
      <c r="E26" t="s">
        <v>3</v>
      </c>
      <c r="F26" s="65" t="e">
        <f>(C20+F20+I20)/(M20+P20)</f>
        <v>#DIV/0!</v>
      </c>
    </row>
  </sheetData>
  <mergeCells count="13">
    <mergeCell ref="A20:B20"/>
    <mergeCell ref="D20:E20"/>
    <mergeCell ref="G20:H20"/>
    <mergeCell ref="K20:L20"/>
    <mergeCell ref="N20:O20"/>
    <mergeCell ref="A1:P1"/>
    <mergeCell ref="A2:I2"/>
    <mergeCell ref="K2:P2"/>
    <mergeCell ref="A3:C3"/>
    <mergeCell ref="D3:F3"/>
    <mergeCell ref="G3:I3"/>
    <mergeCell ref="K3:M3"/>
    <mergeCell ref="N3:P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3DF2C-2DCA-6743-B920-E2C974B1D586}">
  <sheetPr>
    <tabColor rgb="FF00B050"/>
  </sheetPr>
  <dimension ref="A1:Q22"/>
  <sheetViews>
    <sheetView zoomScale="110" workbookViewId="0">
      <selection activeCell="K21" sqref="K21:M23"/>
    </sheetView>
  </sheetViews>
  <sheetFormatPr baseColWidth="10" defaultRowHeight="16"/>
  <cols>
    <col min="5" max="5" width="14.42578125" bestFit="1" customWidth="1"/>
    <col min="8" max="8" width="17" bestFit="1" customWidth="1"/>
    <col min="10" max="10" width="5.7109375" customWidth="1"/>
    <col min="12" max="12" width="20" bestFit="1" customWidth="1"/>
    <col min="15" max="15" width="13.42578125" bestFit="1" customWidth="1"/>
  </cols>
  <sheetData>
    <row r="1" spans="1:17" ht="37">
      <c r="A1" s="114" t="s">
        <v>26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4"/>
      <c r="P5" s="3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9"/>
      <c r="M6" s="10"/>
      <c r="N6" s="8"/>
      <c r="O6" s="4"/>
      <c r="P6" s="34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31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102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103"/>
    </row>
    <row r="10" spans="1:17" ht="17" thickBot="1">
      <c r="A10" s="22"/>
      <c r="B10" s="9"/>
      <c r="C10" s="10"/>
      <c r="D10" s="8"/>
      <c r="E10" s="9"/>
      <c r="F10" s="39"/>
      <c r="G10" s="8"/>
      <c r="H10" s="9"/>
      <c r="I10" s="32"/>
      <c r="K10" s="8"/>
      <c r="L10" s="4"/>
      <c r="M10" s="5"/>
      <c r="N10" s="8"/>
      <c r="O10" s="4"/>
      <c r="P10" s="102"/>
    </row>
    <row r="11" spans="1:17" ht="17" thickBot="1">
      <c r="A11" s="24"/>
      <c r="B11" s="7"/>
      <c r="C11" s="11"/>
      <c r="D11" s="6"/>
      <c r="E11" s="7"/>
      <c r="F11" s="40"/>
      <c r="G11" s="6"/>
      <c r="H11" s="7"/>
      <c r="I11" s="33"/>
      <c r="K11" s="6"/>
      <c r="L11" s="2"/>
      <c r="M11" s="3"/>
      <c r="N11" s="6"/>
      <c r="O11" s="2"/>
      <c r="P11" s="103"/>
    </row>
    <row r="12" spans="1:17" ht="17" thickBot="1">
      <c r="A12" s="22"/>
      <c r="B12" s="9"/>
      <c r="C12" s="10"/>
      <c r="D12" s="8"/>
      <c r="E12" s="9"/>
      <c r="F12" s="39"/>
      <c r="G12" s="8"/>
      <c r="H12" s="9"/>
      <c r="I12" s="32"/>
      <c r="K12" s="8"/>
      <c r="L12" s="4"/>
      <c r="M12" s="5"/>
      <c r="N12" s="8"/>
      <c r="O12" s="4"/>
      <c r="P12" s="102"/>
    </row>
    <row r="13" spans="1:17" ht="17" thickBot="1">
      <c r="A13" s="24"/>
      <c r="B13" s="7"/>
      <c r="C13" s="11"/>
      <c r="D13" s="6"/>
      <c r="E13" s="7"/>
      <c r="F13" s="40"/>
      <c r="G13" s="6"/>
      <c r="H13" s="7"/>
      <c r="I13" s="33"/>
      <c r="K13" s="6"/>
      <c r="L13" s="2"/>
      <c r="M13" s="3"/>
      <c r="N13" s="6"/>
      <c r="O13" s="2"/>
      <c r="P13" s="103"/>
    </row>
    <row r="14" spans="1:17">
      <c r="A14" s="22"/>
      <c r="B14" s="9"/>
      <c r="C14" s="10"/>
      <c r="D14" s="8"/>
      <c r="E14" s="9"/>
      <c r="F14" s="39"/>
      <c r="G14" s="8"/>
      <c r="H14" s="9"/>
      <c r="I14" s="32"/>
      <c r="K14" s="8"/>
      <c r="L14" s="4"/>
      <c r="M14" s="5"/>
      <c r="N14" s="8"/>
      <c r="O14" s="4"/>
      <c r="P14" s="102"/>
    </row>
    <row r="15" spans="1:17">
      <c r="A15" s="107" t="s">
        <v>20</v>
      </c>
      <c r="B15" s="108"/>
      <c r="C15" s="27">
        <f>SUBTOTAL(103,Apr!$C$5:$C$11)</f>
        <v>0</v>
      </c>
      <c r="D15" s="107" t="s">
        <v>18</v>
      </c>
      <c r="E15" s="108"/>
      <c r="F15" s="27">
        <f>SUM(F5:F14)</f>
        <v>0</v>
      </c>
      <c r="G15" s="107" t="s">
        <v>19</v>
      </c>
      <c r="H15" s="108"/>
      <c r="I15" s="28">
        <f>SUM(I5:I14)</f>
        <v>0</v>
      </c>
      <c r="J15" s="29"/>
      <c r="K15" s="107" t="s">
        <v>21</v>
      </c>
      <c r="L15" s="108"/>
      <c r="M15" s="26">
        <f>SUM(M5:M11)</f>
        <v>0</v>
      </c>
      <c r="N15" s="107" t="s">
        <v>22</v>
      </c>
      <c r="O15" s="108"/>
      <c r="P15" s="26">
        <f>SUM(P5:P11)</f>
        <v>0</v>
      </c>
    </row>
    <row r="17" spans="1:16" ht="27" customHeight="1" thickBot="1">
      <c r="A17" s="38" t="s">
        <v>15</v>
      </c>
      <c r="B17" s="37">
        <f>Mar!P22</f>
        <v>0</v>
      </c>
      <c r="O17" s="38" t="s">
        <v>16</v>
      </c>
      <c r="P17" s="37">
        <f>B17+(M15+P15)-(C15+F15+I15)</f>
        <v>0</v>
      </c>
    </row>
    <row r="18" spans="1:16" ht="17" thickTop="1"/>
    <row r="19" spans="1:16">
      <c r="C19" s="41"/>
      <c r="E19" s="122"/>
      <c r="F19" s="122"/>
    </row>
    <row r="20" spans="1:16">
      <c r="E20" t="s">
        <v>37</v>
      </c>
      <c r="F20" s="36">
        <f>(M15+P15)-(C15+F15+I15)</f>
        <v>0</v>
      </c>
    </row>
    <row r="21" spans="1:16">
      <c r="E21" t="s">
        <v>36</v>
      </c>
      <c r="F21" s="36">
        <f>C15+F15+I15</f>
        <v>0</v>
      </c>
      <c r="L21" s="105"/>
    </row>
    <row r="22" spans="1:16">
      <c r="A22" t="s">
        <v>3</v>
      </c>
      <c r="B22" s="65" t="e">
        <f>(C15+F15+I15)/(M15+P15)</f>
        <v>#DIV/0!</v>
      </c>
      <c r="K22" s="104"/>
      <c r="L22" s="106"/>
    </row>
  </sheetData>
  <mergeCells count="14">
    <mergeCell ref="E19:F19"/>
    <mergeCell ref="A1:P1"/>
    <mergeCell ref="A2:I2"/>
    <mergeCell ref="K2:P2"/>
    <mergeCell ref="A3:C3"/>
    <mergeCell ref="D3:F3"/>
    <mergeCell ref="G3:I3"/>
    <mergeCell ref="K3:M3"/>
    <mergeCell ref="N3:P3"/>
    <mergeCell ref="A15:B15"/>
    <mergeCell ref="D15:E15"/>
    <mergeCell ref="G15:H15"/>
    <mergeCell ref="K15:L15"/>
    <mergeCell ref="N15:O15"/>
  </mergeCells>
  <phoneticPr fontId="2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6E59F-D39D-1E4E-AA40-8AEA5991E328}">
  <sheetPr>
    <tabColor rgb="FFEEDD2F"/>
  </sheetPr>
  <dimension ref="A1:Q19"/>
  <sheetViews>
    <sheetView zoomScale="110" workbookViewId="0">
      <selection activeCell="K5" sqref="K5:M5"/>
    </sheetView>
  </sheetViews>
  <sheetFormatPr baseColWidth="10" defaultRowHeight="16"/>
  <cols>
    <col min="5" max="5" width="12.5703125" bestFit="1" customWidth="1"/>
    <col min="8" max="8" width="20.5703125" bestFit="1" customWidth="1"/>
    <col min="10" max="10" width="5.7109375" customWidth="1"/>
    <col min="12" max="12" width="20" bestFit="1" customWidth="1"/>
  </cols>
  <sheetData>
    <row r="1" spans="1:17" ht="37">
      <c r="A1" s="114" t="s">
        <v>27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20"/>
      <c r="E5" s="14"/>
      <c r="F5" s="15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22"/>
      <c r="E6" s="9"/>
      <c r="F6" s="10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24"/>
      <c r="E7" s="7"/>
      <c r="F7" s="11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22"/>
      <c r="E8" s="9"/>
      <c r="F8" s="10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24"/>
      <c r="E9" s="7"/>
      <c r="F9" s="11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22"/>
      <c r="E10" s="9"/>
      <c r="F10" s="10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SUBTOTAL(103,May!$C$5:$C$11)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SUBTOTAL(109,May!$I$5:$I$11)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SUBTOTAL(103,May!$P$5:$P$11)</f>
        <v>0</v>
      </c>
    </row>
    <row r="14" spans="1:17" ht="27" customHeight="1" thickBot="1">
      <c r="A14" s="38" t="s">
        <v>15</v>
      </c>
      <c r="B14" s="37">
        <f>Apr!P17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6B934-A3A6-4445-AA92-9B936D4F9478}">
  <sheetPr>
    <tabColor rgb="FF0070C0"/>
  </sheetPr>
  <dimension ref="A1:Q19"/>
  <sheetViews>
    <sheetView zoomScale="110" workbookViewId="0">
      <selection sqref="A1:P1"/>
    </sheetView>
  </sheetViews>
  <sheetFormatPr baseColWidth="10" defaultRowHeight="16"/>
  <cols>
    <col min="5" max="5" width="12.5703125" bestFit="1" customWidth="1"/>
    <col min="10" max="10" width="5.7109375" customWidth="1"/>
    <col min="12" max="12" width="20" bestFit="1" customWidth="1"/>
  </cols>
  <sheetData>
    <row r="1" spans="1:17" ht="37">
      <c r="A1" s="114" t="s">
        <v>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SUBTOTAL(103,Jun!$C$5:$C$11)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SUBTOTAL(109,Jun!$I$5:$I$11)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SUBTOTAL(103,Jun!$P$5:$P$11)</f>
        <v>0</v>
      </c>
    </row>
    <row r="14" spans="1:17" ht="27" customHeight="1" thickBot="1">
      <c r="A14" s="38" t="s">
        <v>15</v>
      </c>
      <c r="B14" s="37">
        <f>May!P14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31C12-B015-774A-B776-25055864EE70}">
  <sheetPr>
    <tabColor rgb="FF00B0F0"/>
  </sheetPr>
  <dimension ref="A1:Q19"/>
  <sheetViews>
    <sheetView zoomScale="110" workbookViewId="0">
      <selection sqref="A1:P1"/>
    </sheetView>
  </sheetViews>
  <sheetFormatPr baseColWidth="10" defaultRowHeight="16"/>
  <cols>
    <col min="5" max="5" width="12.5703125" bestFit="1" customWidth="1"/>
    <col min="10" max="10" width="5.7109375" customWidth="1"/>
    <col min="12" max="12" width="20" bestFit="1" customWidth="1"/>
  </cols>
  <sheetData>
    <row r="1" spans="1:17" ht="37">
      <c r="A1" s="114" t="s">
        <v>29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SUBTOTAL(103,Jul!$C$5:$C$11)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SUBTOTAL(109,Jul!$I$5:$I$11)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SUBTOTAL(103,Jul!$P$5:$P$11)</f>
        <v>0</v>
      </c>
    </row>
    <row r="14" spans="1:17" ht="27" customHeight="1" thickBot="1">
      <c r="A14" s="38" t="s">
        <v>15</v>
      </c>
      <c r="B14" s="37">
        <f>Jun!P14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28D91-BD4D-3547-A48F-051D228E05CB}">
  <sheetPr>
    <tabColor rgb="FFFFFF00"/>
  </sheetPr>
  <dimension ref="A1:Q19"/>
  <sheetViews>
    <sheetView zoomScale="110" workbookViewId="0">
      <selection sqref="A1:P1"/>
    </sheetView>
  </sheetViews>
  <sheetFormatPr baseColWidth="10" defaultRowHeight="16"/>
  <cols>
    <col min="5" max="5" width="12.5703125" bestFit="1" customWidth="1"/>
    <col min="10" max="10" width="5.7109375" customWidth="1"/>
    <col min="12" max="12" width="20" bestFit="1" customWidth="1"/>
  </cols>
  <sheetData>
    <row r="1" spans="1:17" ht="37">
      <c r="A1" s="114" t="s">
        <v>30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SUBTOTAL(103,Aug!$C$5:$C$11)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SUBTOTAL(109,Aug!$I$5:$I$11)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SUBTOTAL(103,Aug!$P$5:$P$11)</f>
        <v>0</v>
      </c>
    </row>
    <row r="14" spans="1:17" ht="27" customHeight="1" thickBot="1">
      <c r="A14" s="38" t="s">
        <v>15</v>
      </c>
      <c r="B14" s="37">
        <f>Jul!P14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E6A0-D5F1-3244-BC0F-1A7FB0AD57AD}">
  <sheetPr>
    <tabColor theme="5" tint="-0.249977111117893"/>
  </sheetPr>
  <dimension ref="A1:Q19"/>
  <sheetViews>
    <sheetView zoomScale="110" workbookViewId="0">
      <selection sqref="A1:P1"/>
    </sheetView>
  </sheetViews>
  <sheetFormatPr baseColWidth="10" defaultRowHeight="16"/>
  <cols>
    <col min="5" max="5" width="12.5703125" bestFit="1" customWidth="1"/>
    <col min="10" max="10" width="5.7109375" customWidth="1"/>
    <col min="12" max="12" width="20" bestFit="1" customWidth="1"/>
  </cols>
  <sheetData>
    <row r="1" spans="1:17" ht="37">
      <c r="A1" s="114" t="s">
        <v>31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SUBTOTAL(103,Sep!$C$5:$C$11)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SUBTOTAL(109,Sep!$I$5:$I$11)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SUBTOTAL(103,Sep!$P$5:$P$11)</f>
        <v>0</v>
      </c>
    </row>
    <row r="14" spans="1:17" ht="27" customHeight="1" thickBot="1">
      <c r="A14" s="38" t="s">
        <v>15</v>
      </c>
      <c r="B14" s="37">
        <f>Aug!P14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C2FC5-DE85-AA4F-A239-D4A68711AFB0}">
  <sheetPr>
    <tabColor rgb="FFFFC000"/>
  </sheetPr>
  <dimension ref="A1:Q19"/>
  <sheetViews>
    <sheetView zoomScale="110" workbookViewId="0">
      <selection sqref="A1:P1"/>
    </sheetView>
  </sheetViews>
  <sheetFormatPr baseColWidth="10" defaultRowHeight="16"/>
  <cols>
    <col min="5" max="5" width="12.5703125" bestFit="1" customWidth="1"/>
    <col min="10" max="10" width="5.7109375" customWidth="1"/>
    <col min="12" max="12" width="20" bestFit="1" customWidth="1"/>
  </cols>
  <sheetData>
    <row r="1" spans="1:17" ht="37">
      <c r="A1" s="114" t="s">
        <v>32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SUBTOTAL(103,Oct!$C$5:$C$11)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SUBTOTAL(109,Oct!$I$5:$I$11)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SUBTOTAL(103,Oct!$P$5:$P$11)</f>
        <v>0</v>
      </c>
    </row>
    <row r="14" spans="1:17" ht="27" customHeight="1" thickBot="1">
      <c r="A14" s="38" t="s">
        <v>15</v>
      </c>
      <c r="B14" s="37">
        <f>Sep!P14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C675-0AD3-0449-AFB5-1590213F36FA}">
  <sheetPr>
    <tabColor theme="8" tint="-0.499984740745262"/>
  </sheetPr>
  <dimension ref="A1:Q19"/>
  <sheetViews>
    <sheetView zoomScale="110" workbookViewId="0">
      <selection sqref="A1:P1"/>
    </sheetView>
  </sheetViews>
  <sheetFormatPr baseColWidth="10" defaultRowHeight="16"/>
  <cols>
    <col min="5" max="5" width="12.5703125" bestFit="1" customWidth="1"/>
    <col min="10" max="10" width="5.7109375" customWidth="1"/>
    <col min="12" max="12" width="20" bestFit="1" customWidth="1"/>
  </cols>
  <sheetData>
    <row r="1" spans="1:17" ht="37">
      <c r="A1" s="114" t="s">
        <v>33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SUBTOTAL(103,Nov!$C$5:$C$11)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SUBTOTAL(109,Nov!$I$5:$I$11)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SUBTOTAL(103,Nov!$P$5:$P$11)</f>
        <v>0</v>
      </c>
    </row>
    <row r="14" spans="1:17" ht="27" customHeight="1" thickBot="1">
      <c r="A14" s="38" t="s">
        <v>15</v>
      </c>
      <c r="B14" s="37">
        <f>Oct!P14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838BC-B97D-F245-BE5F-3A443B459C4D}">
  <sheetPr>
    <tabColor theme="4"/>
  </sheetPr>
  <dimension ref="A1:Q19"/>
  <sheetViews>
    <sheetView zoomScale="110" workbookViewId="0">
      <selection sqref="A1:P1"/>
    </sheetView>
  </sheetViews>
  <sheetFormatPr baseColWidth="10" defaultRowHeight="16"/>
  <cols>
    <col min="5" max="5" width="12.5703125" bestFit="1" customWidth="1"/>
    <col min="10" max="10" width="5.7109375" customWidth="1"/>
    <col min="12" max="12" width="20" bestFit="1" customWidth="1"/>
  </cols>
  <sheetData>
    <row r="1" spans="1:17" ht="37">
      <c r="A1" s="114" t="s">
        <v>34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6"/>
    </row>
    <row r="2" spans="1:17" ht="25">
      <c r="A2" s="109" t="s">
        <v>5</v>
      </c>
      <c r="B2" s="110"/>
      <c r="C2" s="110"/>
      <c r="D2" s="110"/>
      <c r="E2" s="110"/>
      <c r="F2" s="110"/>
      <c r="G2" s="110"/>
      <c r="H2" s="110"/>
      <c r="I2" s="110"/>
      <c r="J2" s="30"/>
      <c r="K2" s="113" t="s">
        <v>11</v>
      </c>
      <c r="L2" s="113"/>
      <c r="M2" s="113"/>
      <c r="N2" s="113"/>
      <c r="O2" s="113"/>
      <c r="P2" s="113"/>
    </row>
    <row r="3" spans="1:17" ht="23">
      <c r="A3" s="117" t="s">
        <v>6</v>
      </c>
      <c r="B3" s="111"/>
      <c r="C3" s="111"/>
      <c r="D3" s="111" t="s">
        <v>7</v>
      </c>
      <c r="E3" s="111"/>
      <c r="F3" s="111"/>
      <c r="G3" s="111" t="s">
        <v>8</v>
      </c>
      <c r="H3" s="111"/>
      <c r="I3" s="111"/>
      <c r="J3" s="30"/>
      <c r="K3" s="111" t="s">
        <v>12</v>
      </c>
      <c r="L3" s="111"/>
      <c r="M3" s="111"/>
      <c r="N3" s="111" t="s">
        <v>0</v>
      </c>
      <c r="O3" s="111"/>
      <c r="P3" s="112"/>
    </row>
    <row r="4" spans="1:17">
      <c r="A4" s="18" t="s">
        <v>2</v>
      </c>
      <c r="B4" s="17" t="s">
        <v>10</v>
      </c>
      <c r="C4" s="17" t="s">
        <v>9</v>
      </c>
      <c r="D4" s="17" t="s">
        <v>2</v>
      </c>
      <c r="E4" s="17" t="s">
        <v>10</v>
      </c>
      <c r="F4" s="17" t="s">
        <v>9</v>
      </c>
      <c r="G4" s="17" t="s">
        <v>2</v>
      </c>
      <c r="H4" s="17" t="s">
        <v>10</v>
      </c>
      <c r="I4" s="17" t="s">
        <v>9</v>
      </c>
      <c r="K4" s="17" t="s">
        <v>2</v>
      </c>
      <c r="L4" s="17" t="s">
        <v>10</v>
      </c>
      <c r="M4" s="17" t="s">
        <v>1</v>
      </c>
      <c r="N4" s="17" t="s">
        <v>2</v>
      </c>
      <c r="O4" s="17" t="s">
        <v>10</v>
      </c>
      <c r="P4" s="19" t="s">
        <v>1</v>
      </c>
      <c r="Q4" s="12"/>
    </row>
    <row r="5" spans="1:17" ht="17" thickBot="1">
      <c r="A5" s="20"/>
      <c r="B5" s="14"/>
      <c r="C5" s="15"/>
      <c r="D5" s="13"/>
      <c r="E5" s="14"/>
      <c r="F5" s="31"/>
      <c r="G5" s="13"/>
      <c r="H5" s="14"/>
      <c r="I5" s="31"/>
      <c r="K5" s="13"/>
      <c r="L5" s="14"/>
      <c r="M5" s="31"/>
      <c r="N5" s="13"/>
      <c r="O5" s="16"/>
      <c r="P5" s="21"/>
    </row>
    <row r="6" spans="1:17" ht="17" thickBot="1">
      <c r="A6" s="22"/>
      <c r="B6" s="9"/>
      <c r="C6" s="10"/>
      <c r="D6" s="8"/>
      <c r="E6" s="9"/>
      <c r="F6" s="39"/>
      <c r="G6" s="8"/>
      <c r="H6" s="9"/>
      <c r="I6" s="32"/>
      <c r="K6" s="8"/>
      <c r="L6" s="4"/>
      <c r="M6" s="5"/>
      <c r="N6" s="8"/>
      <c r="O6" s="4"/>
      <c r="P6" s="23"/>
    </row>
    <row r="7" spans="1:17" ht="17" thickBot="1">
      <c r="A7" s="24"/>
      <c r="B7" s="7"/>
      <c r="C7" s="11"/>
      <c r="D7" s="6"/>
      <c r="E7" s="7"/>
      <c r="F7" s="40"/>
      <c r="G7" s="6"/>
      <c r="H7" s="7"/>
      <c r="I7" s="33"/>
      <c r="K7" s="6"/>
      <c r="L7" s="2"/>
      <c r="M7" s="3"/>
      <c r="N7" s="6"/>
      <c r="O7" s="2"/>
      <c r="P7" s="25"/>
    </row>
    <row r="8" spans="1:17" ht="17" thickBot="1">
      <c r="A8" s="22"/>
      <c r="B8" s="9"/>
      <c r="C8" s="10"/>
      <c r="D8" s="8"/>
      <c r="E8" s="9"/>
      <c r="F8" s="39"/>
      <c r="G8" s="8"/>
      <c r="H8" s="9"/>
      <c r="I8" s="32"/>
      <c r="K8" s="8"/>
      <c r="L8" s="4"/>
      <c r="M8" s="5"/>
      <c r="N8" s="8"/>
      <c r="O8" s="4"/>
      <c r="P8" s="23"/>
    </row>
    <row r="9" spans="1:17" ht="17" thickBot="1">
      <c r="A9" s="24"/>
      <c r="B9" s="7"/>
      <c r="C9" s="11"/>
      <c r="D9" s="6"/>
      <c r="E9" s="7"/>
      <c r="F9" s="40"/>
      <c r="G9" s="6"/>
      <c r="H9" s="7"/>
      <c r="I9" s="33"/>
      <c r="K9" s="6"/>
      <c r="L9" s="2"/>
      <c r="M9" s="3"/>
      <c r="N9" s="6"/>
      <c r="O9" s="2"/>
      <c r="P9" s="25"/>
    </row>
    <row r="10" spans="1:17" ht="17" thickBot="1">
      <c r="A10" s="22"/>
      <c r="B10" s="9"/>
      <c r="C10" s="10"/>
      <c r="D10" s="8"/>
      <c r="E10" s="9"/>
      <c r="F10" s="34"/>
      <c r="G10" s="8"/>
      <c r="H10" s="9"/>
      <c r="I10" s="32"/>
      <c r="K10" s="8"/>
      <c r="L10" s="4"/>
      <c r="M10" s="5"/>
      <c r="N10" s="8"/>
      <c r="O10" s="4"/>
      <c r="P10" s="23"/>
    </row>
    <row r="11" spans="1:17">
      <c r="A11" s="24"/>
      <c r="B11" s="7"/>
      <c r="C11" s="11"/>
      <c r="D11" s="6"/>
      <c r="E11" s="7"/>
      <c r="F11" s="35"/>
      <c r="G11" s="6"/>
      <c r="H11" s="7"/>
      <c r="I11" s="33"/>
      <c r="K11" s="6"/>
      <c r="L11" s="2"/>
      <c r="M11" s="3"/>
      <c r="N11" s="6"/>
      <c r="O11" s="2"/>
      <c r="P11" s="25"/>
    </row>
    <row r="12" spans="1:17">
      <c r="A12" s="107" t="s">
        <v>20</v>
      </c>
      <c r="B12" s="108"/>
      <c r="C12" s="27">
        <f>SUBTOTAL(103,Dec!$C$5:$C$11)</f>
        <v>0</v>
      </c>
      <c r="D12" s="107" t="s">
        <v>18</v>
      </c>
      <c r="E12" s="108"/>
      <c r="F12" s="27">
        <f>SUM(F5:F11)</f>
        <v>0</v>
      </c>
      <c r="G12" s="107" t="s">
        <v>19</v>
      </c>
      <c r="H12" s="108"/>
      <c r="I12" s="28">
        <f>SUBTOTAL(109,Dec!$I$5:$I$11)</f>
        <v>0</v>
      </c>
      <c r="J12" s="29"/>
      <c r="K12" s="107" t="s">
        <v>21</v>
      </c>
      <c r="L12" s="108"/>
      <c r="M12" s="26">
        <f>SUM(M5:M11)</f>
        <v>0</v>
      </c>
      <c r="N12" s="107" t="s">
        <v>22</v>
      </c>
      <c r="O12" s="108"/>
      <c r="P12" s="26">
        <f>SUBTOTAL(103,Dec!$P$5:$P$11)</f>
        <v>0</v>
      </c>
    </row>
    <row r="14" spans="1:17" ht="27" customHeight="1" thickBot="1">
      <c r="A14" s="38" t="s">
        <v>15</v>
      </c>
      <c r="B14" s="37">
        <f>Nov!P14</f>
        <v>0</v>
      </c>
      <c r="O14" s="38" t="s">
        <v>16</v>
      </c>
      <c r="P14" s="37">
        <f>B14+(M12+P12)-(C12+F12+I12)</f>
        <v>0</v>
      </c>
    </row>
    <row r="15" spans="1:17" ht="17" thickTop="1"/>
    <row r="16" spans="1:17">
      <c r="C16" s="41"/>
      <c r="E16" s="122"/>
      <c r="F16" s="122"/>
    </row>
    <row r="17" spans="1:6">
      <c r="E17" t="s">
        <v>37</v>
      </c>
      <c r="F17" s="36">
        <f>(M12+P12)-(C12+F12+I12)</f>
        <v>0</v>
      </c>
    </row>
    <row r="18" spans="1:6">
      <c r="E18" t="s">
        <v>36</v>
      </c>
      <c r="F18" s="36">
        <f>C12+F12+I12</f>
        <v>0</v>
      </c>
    </row>
    <row r="19" spans="1:6">
      <c r="A19" t="s">
        <v>3</v>
      </c>
      <c r="B19" s="65" t="e">
        <f>(C12+F12+I12)/(M12+P12)</f>
        <v>#DIV/0!</v>
      </c>
    </row>
  </sheetData>
  <mergeCells count="14">
    <mergeCell ref="E16:F16"/>
    <mergeCell ref="A1:P1"/>
    <mergeCell ref="A2:I2"/>
    <mergeCell ref="K2:P2"/>
    <mergeCell ref="A3:C3"/>
    <mergeCell ref="D3:F3"/>
    <mergeCell ref="G3:I3"/>
    <mergeCell ref="K3:M3"/>
    <mergeCell ref="N3:P3"/>
    <mergeCell ref="A12:B12"/>
    <mergeCell ref="D12:E12"/>
    <mergeCell ref="G12:H12"/>
    <mergeCell ref="K12:L12"/>
    <mergeCell ref="N12:O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BBE03-ACB6-434A-88F3-41FDF777BD9F}">
  <sheetPr>
    <tabColor theme="9"/>
  </sheetPr>
  <dimension ref="A1:N14"/>
  <sheetViews>
    <sheetView workbookViewId="0">
      <pane xSplit="1" topLeftCell="B1" activePane="topRight" state="frozen"/>
      <selection activeCell="L30" sqref="L30"/>
      <selection pane="topRight" activeCell="A3" sqref="A3"/>
    </sheetView>
  </sheetViews>
  <sheetFormatPr baseColWidth="10" defaultRowHeight="16"/>
  <cols>
    <col min="1" max="1" width="27.7109375" bestFit="1" customWidth="1"/>
    <col min="2" max="14" width="17.5703125" customWidth="1"/>
  </cols>
  <sheetData>
    <row r="1" spans="1:14" ht="37">
      <c r="A1" s="123" t="s">
        <v>38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5"/>
    </row>
    <row r="2" spans="1:14" ht="32">
      <c r="A2" s="126" t="s">
        <v>39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8"/>
    </row>
    <row r="3" spans="1:14" ht="23">
      <c r="A3" s="59" t="s">
        <v>11</v>
      </c>
      <c r="B3" s="42" t="s">
        <v>23</v>
      </c>
      <c r="C3" s="42" t="s">
        <v>24</v>
      </c>
      <c r="D3" s="42" t="s">
        <v>25</v>
      </c>
      <c r="E3" s="42" t="s">
        <v>26</v>
      </c>
      <c r="F3" s="42" t="s">
        <v>27</v>
      </c>
      <c r="G3" s="42" t="s">
        <v>28</v>
      </c>
      <c r="H3" s="42" t="s">
        <v>29</v>
      </c>
      <c r="I3" s="42" t="s">
        <v>30</v>
      </c>
      <c r="J3" s="42" t="s">
        <v>31</v>
      </c>
      <c r="K3" s="42" t="s">
        <v>32</v>
      </c>
      <c r="L3" s="42" t="s">
        <v>33</v>
      </c>
      <c r="M3" s="42" t="s">
        <v>34</v>
      </c>
      <c r="N3" s="44" t="s">
        <v>13</v>
      </c>
    </row>
    <row r="4" spans="1:14" s="49" customFormat="1" ht="24" customHeight="1">
      <c r="A4" s="57" t="s">
        <v>14</v>
      </c>
      <c r="B4" s="51">
        <v>0</v>
      </c>
      <c r="C4" s="51">
        <f>Feb!M12</f>
        <v>0</v>
      </c>
      <c r="D4" s="51">
        <f>Mar!M20</f>
        <v>0</v>
      </c>
      <c r="E4" s="52">
        <f>Apr!M15</f>
        <v>0</v>
      </c>
      <c r="F4" s="52">
        <f>May!M12</f>
        <v>0</v>
      </c>
      <c r="G4" s="50">
        <f>Jun!M12</f>
        <v>0</v>
      </c>
      <c r="H4" s="51">
        <f>Jul!M12</f>
        <v>0</v>
      </c>
      <c r="I4" s="51">
        <f>Aug!M12</f>
        <v>0</v>
      </c>
      <c r="J4" s="50">
        <f>Sep!M7</f>
        <v>0</v>
      </c>
      <c r="K4" s="51">
        <f>Oct!M12</f>
        <v>0</v>
      </c>
      <c r="L4" s="51">
        <f>Nov!M12</f>
        <v>0</v>
      </c>
      <c r="M4" s="51">
        <f>Dec!M12</f>
        <v>0</v>
      </c>
      <c r="N4" s="53">
        <f>SUM(C4:M4)</f>
        <v>0</v>
      </c>
    </row>
    <row r="5" spans="1:14" s="49" customFormat="1" ht="24" customHeight="1">
      <c r="A5" s="58" t="s">
        <v>0</v>
      </c>
      <c r="B5" s="54">
        <v>0</v>
      </c>
      <c r="C5" s="54">
        <f>Feb!P12</f>
        <v>0</v>
      </c>
      <c r="D5" s="54">
        <f>Mar!P20</f>
        <v>0</v>
      </c>
      <c r="E5" s="55">
        <f>Apr!P15</f>
        <v>0</v>
      </c>
      <c r="F5" s="55">
        <f>May!P12</f>
        <v>0</v>
      </c>
      <c r="G5" s="66">
        <f>Jun!P12</f>
        <v>0</v>
      </c>
      <c r="H5" s="54">
        <f>Jul!P12</f>
        <v>0</v>
      </c>
      <c r="I5" s="54">
        <f>Aug!P13</f>
        <v>0</v>
      </c>
      <c r="J5" s="66">
        <f>Sep!P12</f>
        <v>0</v>
      </c>
      <c r="K5" s="54">
        <f>Oct!P12</f>
        <v>0</v>
      </c>
      <c r="L5" s="54">
        <f>Nov!P12</f>
        <v>0</v>
      </c>
      <c r="M5" s="54">
        <f>Dec!P12</f>
        <v>0</v>
      </c>
      <c r="N5" s="56">
        <f>SUM(C5:M5)</f>
        <v>0</v>
      </c>
    </row>
    <row r="6" spans="1:14" ht="30" customHeight="1" thickBot="1">
      <c r="A6" s="48" t="s">
        <v>13</v>
      </c>
      <c r="B6" s="62">
        <f>SUM(B4:B5)</f>
        <v>0</v>
      </c>
      <c r="C6" s="62">
        <f t="shared" ref="C6:M6" si="0">SUM(C4:C5)</f>
        <v>0</v>
      </c>
      <c r="D6" s="62">
        <f t="shared" si="0"/>
        <v>0</v>
      </c>
      <c r="E6" s="62">
        <f t="shared" si="0"/>
        <v>0</v>
      </c>
      <c r="F6" s="62">
        <f t="shared" si="0"/>
        <v>0</v>
      </c>
      <c r="G6" s="62">
        <f t="shared" si="0"/>
        <v>0</v>
      </c>
      <c r="H6" s="62">
        <f t="shared" si="0"/>
        <v>0</v>
      </c>
      <c r="I6" s="62">
        <f t="shared" si="0"/>
        <v>0</v>
      </c>
      <c r="J6" s="62">
        <f>SUM(J4:J5)</f>
        <v>0</v>
      </c>
      <c r="K6" s="62">
        <f t="shared" si="0"/>
        <v>0</v>
      </c>
      <c r="L6" s="62">
        <f t="shared" si="0"/>
        <v>0</v>
      </c>
      <c r="M6" s="62">
        <f t="shared" si="0"/>
        <v>0</v>
      </c>
      <c r="N6" s="63">
        <f t="shared" ref="N6" si="1">SUM(B6:M6)</f>
        <v>0</v>
      </c>
    </row>
    <row r="7" spans="1:14" ht="18" thickTop="1">
      <c r="A7" s="45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6"/>
    </row>
    <row r="8" spans="1:14" ht="23">
      <c r="A8" s="59" t="s">
        <v>5</v>
      </c>
      <c r="B8" s="42" t="str">
        <f>B3</f>
        <v>January</v>
      </c>
      <c r="C8" s="42" t="str">
        <f t="shared" ref="C8:L8" si="2">C3</f>
        <v>February</v>
      </c>
      <c r="D8" s="42" t="str">
        <f t="shared" si="2"/>
        <v>March</v>
      </c>
      <c r="E8" s="42" t="str">
        <f t="shared" si="2"/>
        <v>April</v>
      </c>
      <c r="F8" s="42" t="str">
        <f t="shared" si="2"/>
        <v>May</v>
      </c>
      <c r="G8" s="42" t="str">
        <f t="shared" si="2"/>
        <v>June</v>
      </c>
      <c r="H8" s="42" t="str">
        <f t="shared" si="2"/>
        <v>July</v>
      </c>
      <c r="I8" s="42" t="str">
        <f t="shared" si="2"/>
        <v>August</v>
      </c>
      <c r="J8" s="42" t="str">
        <f t="shared" si="2"/>
        <v>September</v>
      </c>
      <c r="K8" s="42" t="str">
        <f t="shared" si="2"/>
        <v>October</v>
      </c>
      <c r="L8" s="42" t="str">
        <f t="shared" si="2"/>
        <v>November</v>
      </c>
      <c r="M8" s="42" t="str">
        <f>M3</f>
        <v>December</v>
      </c>
      <c r="N8" s="44" t="s">
        <v>13</v>
      </c>
    </row>
    <row r="9" spans="1:14" s="49" customFormat="1" ht="24" customHeight="1">
      <c r="A9" s="57" t="s">
        <v>20</v>
      </c>
      <c r="B9" s="50">
        <v>0</v>
      </c>
      <c r="C9" s="51">
        <f>Feb!C12</f>
        <v>0</v>
      </c>
      <c r="D9" s="51">
        <f>Mar!C20</f>
        <v>0</v>
      </c>
      <c r="E9" s="52">
        <f>Apr!C15</f>
        <v>0</v>
      </c>
      <c r="F9" s="52">
        <f>May!C12</f>
        <v>0</v>
      </c>
      <c r="G9" s="50">
        <f>Jun!C12</f>
        <v>0</v>
      </c>
      <c r="H9" s="51">
        <f>Jul!C12</f>
        <v>0</v>
      </c>
      <c r="I9" s="51">
        <f>Aug!C12</f>
        <v>0</v>
      </c>
      <c r="J9" s="50">
        <f>Sep!C12</f>
        <v>0</v>
      </c>
      <c r="K9" s="51">
        <f>Oct!C12</f>
        <v>0</v>
      </c>
      <c r="L9" s="51">
        <f>Nov!C12</f>
        <v>0</v>
      </c>
      <c r="M9" s="51">
        <f>Dec!C12</f>
        <v>0</v>
      </c>
      <c r="N9" s="53">
        <f>SUM(C9:M9)</f>
        <v>0</v>
      </c>
    </row>
    <row r="10" spans="1:14" s="49" customFormat="1" ht="24" customHeight="1">
      <c r="A10" s="58" t="s">
        <v>18</v>
      </c>
      <c r="B10" s="66">
        <v>0</v>
      </c>
      <c r="C10" s="54">
        <f>Feb!F12</f>
        <v>0</v>
      </c>
      <c r="D10" s="54">
        <f>Mar!F20</f>
        <v>0</v>
      </c>
      <c r="E10" s="55">
        <f>Apr!F15</f>
        <v>0</v>
      </c>
      <c r="F10" s="55">
        <f>May!F12</f>
        <v>0</v>
      </c>
      <c r="G10" s="66">
        <f>Jun!F12</f>
        <v>0</v>
      </c>
      <c r="H10" s="54">
        <f>Jul!F12</f>
        <v>0</v>
      </c>
      <c r="I10" s="54">
        <f>Aug!F12</f>
        <v>0</v>
      </c>
      <c r="J10" s="66">
        <f>Sep!F12</f>
        <v>0</v>
      </c>
      <c r="K10" s="54">
        <f>Oct!F12</f>
        <v>0</v>
      </c>
      <c r="L10" s="54">
        <f>Nov!F12</f>
        <v>0</v>
      </c>
      <c r="M10" s="54">
        <f>Dec!F12</f>
        <v>0</v>
      </c>
      <c r="N10" s="56">
        <f>SUM(C10:M10)</f>
        <v>0</v>
      </c>
    </row>
    <row r="11" spans="1:14" s="49" customFormat="1" ht="24" customHeight="1">
      <c r="A11" s="57" t="s">
        <v>19</v>
      </c>
      <c r="B11" s="50">
        <v>0</v>
      </c>
      <c r="C11" s="51">
        <f>Feb!I12</f>
        <v>0</v>
      </c>
      <c r="D11" s="51">
        <f>Mar!I20</f>
        <v>0</v>
      </c>
      <c r="E11" s="52">
        <f>Apr!I15</f>
        <v>0</v>
      </c>
      <c r="F11" s="52">
        <f>May!I12</f>
        <v>0</v>
      </c>
      <c r="G11" s="50">
        <f>Jun!I12</f>
        <v>0</v>
      </c>
      <c r="H11" s="51">
        <f>Jul!I12</f>
        <v>0</v>
      </c>
      <c r="I11" s="51">
        <f>Aug!I12</f>
        <v>0</v>
      </c>
      <c r="J11" s="50">
        <f>Sep!I12</f>
        <v>0</v>
      </c>
      <c r="K11" s="51">
        <f>Oct!I12</f>
        <v>0</v>
      </c>
      <c r="L11" s="51">
        <f>Nov!I12</f>
        <v>0</v>
      </c>
      <c r="M11" s="51">
        <f>Dec!I12</f>
        <v>0</v>
      </c>
      <c r="N11" s="53">
        <f>SUM(N9:N10)</f>
        <v>0</v>
      </c>
    </row>
    <row r="12" spans="1:14" ht="30" customHeight="1" thickBot="1">
      <c r="A12" s="48" t="s">
        <v>13</v>
      </c>
      <c r="B12" s="62">
        <f t="shared" ref="B12:N12" si="3">SUM(B9:B11)</f>
        <v>0</v>
      </c>
      <c r="C12" s="62">
        <f t="shared" si="3"/>
        <v>0</v>
      </c>
      <c r="D12" s="62">
        <f t="shared" si="3"/>
        <v>0</v>
      </c>
      <c r="E12" s="62">
        <f t="shared" si="3"/>
        <v>0</v>
      </c>
      <c r="F12" s="62">
        <f t="shared" si="3"/>
        <v>0</v>
      </c>
      <c r="G12" s="62">
        <f t="shared" si="3"/>
        <v>0</v>
      </c>
      <c r="H12" s="62">
        <f t="shared" si="3"/>
        <v>0</v>
      </c>
      <c r="I12" s="62">
        <f t="shared" si="3"/>
        <v>0</v>
      </c>
      <c r="J12" s="62">
        <f t="shared" si="3"/>
        <v>0</v>
      </c>
      <c r="K12" s="62">
        <f t="shared" si="3"/>
        <v>0</v>
      </c>
      <c r="L12" s="62">
        <f t="shared" si="3"/>
        <v>0</v>
      </c>
      <c r="M12" s="62">
        <f t="shared" si="3"/>
        <v>0</v>
      </c>
      <c r="N12" s="63">
        <f t="shared" si="3"/>
        <v>0</v>
      </c>
    </row>
    <row r="13" spans="1:14" ht="18" thickTop="1">
      <c r="A13" s="47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6"/>
    </row>
    <row r="14" spans="1:14" ht="30" customHeight="1" thickBot="1">
      <c r="A14" s="64" t="s">
        <v>35</v>
      </c>
      <c r="B14" s="60">
        <f t="shared" ref="B14:N14" si="4">B6-B12</f>
        <v>0</v>
      </c>
      <c r="C14" s="60">
        <f t="shared" si="4"/>
        <v>0</v>
      </c>
      <c r="D14" s="60">
        <f t="shared" si="4"/>
        <v>0</v>
      </c>
      <c r="E14" s="60">
        <f t="shared" si="4"/>
        <v>0</v>
      </c>
      <c r="F14" s="60">
        <f t="shared" si="4"/>
        <v>0</v>
      </c>
      <c r="G14" s="60">
        <f t="shared" si="4"/>
        <v>0</v>
      </c>
      <c r="H14" s="60">
        <f t="shared" si="4"/>
        <v>0</v>
      </c>
      <c r="I14" s="60">
        <f t="shared" si="4"/>
        <v>0</v>
      </c>
      <c r="J14" s="60">
        <f t="shared" si="4"/>
        <v>0</v>
      </c>
      <c r="K14" s="60">
        <f t="shared" si="4"/>
        <v>0</v>
      </c>
      <c r="L14" s="60">
        <f t="shared" si="4"/>
        <v>0</v>
      </c>
      <c r="M14" s="60">
        <f t="shared" si="4"/>
        <v>0</v>
      </c>
      <c r="N14" s="61">
        <f t="shared" si="4"/>
        <v>0</v>
      </c>
    </row>
  </sheetData>
  <mergeCells count="2">
    <mergeCell ref="A1:N1"/>
    <mergeCell ref="A2:N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499984740745262"/>
  </sheetPr>
  <dimension ref="B2:B6"/>
  <sheetViews>
    <sheetView showGridLines="0" workbookViewId="0">
      <selection activeCell="B7" sqref="B7"/>
    </sheetView>
  </sheetViews>
  <sheetFormatPr baseColWidth="10" defaultColWidth="8.7109375" defaultRowHeight="16"/>
  <cols>
    <col min="1" max="1" width="1.7109375" customWidth="1"/>
  </cols>
  <sheetData>
    <row r="2" spans="2:2">
      <c r="B2" t="s">
        <v>4</v>
      </c>
    </row>
    <row r="4" spans="2:2">
      <c r="B4" s="1" t="e">
        <f>MIN(1-B5,1)</f>
        <v>#REF!</v>
      </c>
    </row>
    <row r="5" spans="2:2">
      <c r="B5" s="1" t="e">
        <f>MIN(Total_Monthly_Expenses/Total_Monthly_Income,1)</f>
        <v>#REF!</v>
      </c>
    </row>
    <row r="6" spans="2:2">
      <c r="B6" t="e">
        <f>(Total_Monthly_Expenses/Total_Monthly_Income)&gt;1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TM10000061</Templat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2025 Totals</vt:lpstr>
      <vt:lpstr>Chart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Korman</dc:creator>
  <cp:lastModifiedBy>Joseph Korman</cp:lastModifiedBy>
  <dcterms:created xsi:type="dcterms:W3CDTF">2014-09-09T12:22:13Z</dcterms:created>
  <dcterms:modified xsi:type="dcterms:W3CDTF">2025-05-08T00:17:01Z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TF10000025</vt:lpwstr>
  </property>
</Properties>
</file>