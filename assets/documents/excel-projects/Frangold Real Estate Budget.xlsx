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1/"/>
    </mc:Choice>
  </mc:AlternateContent>
  <xr:revisionPtr revIDLastSave="0" documentId="13_ncr:1_{1D9EC79E-DBFB-534B-ACC7-F790FD0B5428}" xr6:coauthVersionLast="47" xr6:coauthVersionMax="47" xr10:uidLastSave="{00000000-0000-0000-0000-000000000000}"/>
  <bookViews>
    <workbookView xWindow="0" yWindow="760" windowWidth="30240" windowHeight="17360" activeTab="1" xr2:uid="{62B89482-C1D2-9D49-AF8A-14C1DCBADB20}"/>
  </bookViews>
  <sheets>
    <sheet name="Monthly Finances" sheetId="1" r:id="rId1"/>
    <sheet name="Monthly Expense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E17" i="1"/>
  <c r="D19" i="1"/>
  <c r="E19" i="1"/>
  <c r="L19" i="1"/>
  <c r="M19" i="1"/>
  <c r="C19" i="1"/>
  <c r="C17" i="1"/>
  <c r="D17" i="1"/>
  <c r="F17" i="1"/>
  <c r="G17" i="1"/>
  <c r="H17" i="1"/>
  <c r="H19" i="1" s="1"/>
  <c r="I17" i="1"/>
  <c r="I19" i="1" s="1"/>
  <c r="J17" i="1"/>
  <c r="J19" i="1" s="1"/>
  <c r="K17" i="1"/>
  <c r="K19" i="1" s="1"/>
  <c r="L17" i="1"/>
  <c r="M17" i="1"/>
  <c r="B17" i="1"/>
  <c r="N12" i="1"/>
  <c r="N11" i="1"/>
  <c r="N13" i="1"/>
  <c r="N14" i="1"/>
  <c r="N15" i="1"/>
  <c r="N16" i="1"/>
  <c r="N10" i="1"/>
  <c r="N9" i="1"/>
  <c r="C6" i="1"/>
  <c r="D6" i="1"/>
  <c r="E6" i="1"/>
  <c r="F6" i="1"/>
  <c r="F19" i="1" s="1"/>
  <c r="G6" i="1"/>
  <c r="G19" i="1" s="1"/>
  <c r="H6" i="1"/>
  <c r="I6" i="1"/>
  <c r="J6" i="1"/>
  <c r="K6" i="1"/>
  <c r="L6" i="1"/>
  <c r="M6" i="1"/>
  <c r="B6" i="1"/>
  <c r="B19" i="1" s="1"/>
  <c r="M8" i="1"/>
  <c r="C8" i="1"/>
  <c r="D8" i="1"/>
  <c r="E8" i="1"/>
  <c r="F8" i="1"/>
  <c r="G8" i="1"/>
  <c r="H8" i="1"/>
  <c r="I8" i="1"/>
  <c r="J8" i="1"/>
  <c r="K8" i="1"/>
  <c r="L8" i="1"/>
  <c r="B8" i="1"/>
  <c r="N6" i="1" l="1"/>
  <c r="N17" i="1"/>
  <c r="N19" i="1" l="1"/>
</calcChain>
</file>

<file path=xl/sharedStrings.xml><?xml version="1.0" encoding="utf-8"?>
<sst xmlns="http://schemas.openxmlformats.org/spreadsheetml/2006/main" count="31" uniqueCount="28">
  <si>
    <t>Frangold Real Estate Budget</t>
  </si>
  <si>
    <t>Monthly Estimates</t>
  </si>
  <si>
    <t>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</si>
  <si>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</si>
  <si>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</si>
  <si>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</si>
  <si>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</si>
  <si>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</si>
  <si>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</si>
  <si>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</si>
  <si>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</si>
  <si>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</si>
  <si>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</si>
  <si>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</si>
  <si>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</si>
  <si>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</si>
  <si>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Expenses</t>
  </si>
  <si>
    <t>Commission</t>
  </si>
  <si>
    <t>Interest</t>
  </si>
  <si>
    <t>Rent</t>
  </si>
  <si>
    <t>Utilities</t>
  </si>
  <si>
    <t>Advertising</t>
  </si>
  <si>
    <t>Website</t>
  </si>
  <si>
    <t>Printing</t>
  </si>
  <si>
    <t>Office Supplies</t>
  </si>
  <si>
    <t>Gas</t>
  </si>
  <si>
    <t>Miscellaneous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</si>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</sst>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rial Rounded MT Bold"/>
      <family val="2"/>
    </font>
    <font>
      <b/>
      <sz val="13"/>
      <color theme="1"/>
      <name val="Arial Rounded MT Bold"/>
      <family val="2"/>
    </font>
    <font>
      <b/>
      <sz val="16"/>
      <color theme="9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2" fillId="0" borderId="1" xfId="3" applyAlignment="1">
      <alignment horizontal="center"/>
    </xf>
    <xf numFmtId="0" fontId="4" fillId="0" borderId="2" xfId="5" applyAlignment="1">
      <alignment horizontal="right"/>
    </xf>
    <xf numFmtId="44" fontId="4" fillId="0" borderId="2" xfId="5" applyNumberFormat="1" applyAlignment="1">
      <alignment horizontal="left"/>
    </xf>
    <xf numFmtId="44" fontId="4" fillId="0" borderId="2" xfId="5" applyNumberFormat="1"/>
    <xf numFmtId="0" fontId="5" fillId="2" borderId="0" xfId="6" applyAlignment="1">
      <alignment horizontal="right"/>
    </xf>
    <xf numFmtId="44" fontId="5" fillId="2" borderId="0" xfId="6" applyNumberFormat="1"/>
    <xf numFmtId="0" fontId="1" fillId="3" borderId="0" xfId="7" applyAlignment="1">
      <alignment horizontal="right"/>
    </xf>
    <xf numFmtId="0" fontId="1" fillId="4" borderId="0" xfId="8" applyAlignment="1">
      <alignment horizontal="right"/>
    </xf>
    <xf numFmtId="44" fontId="1" fillId="3" borderId="0" xfId="7" applyNumberFormat="1"/>
    <xf numFmtId="44" fontId="1" fillId="4" borderId="0" xfId="8" applyNumberFormat="1"/>
    <xf numFmtId="44" fontId="1" fillId="3" borderId="0" xfId="2" applyFill="1" applyAlignment="1">
      <alignment horizontal="left"/>
    </xf>
    <xf numFmtId="43" fontId="1" fillId="4" borderId="0" xfId="1" applyFill="1" applyAlignment="1">
      <alignment horizontal="left"/>
    </xf>
    <xf numFmtId="43" fontId="1" fillId="4" borderId="0" xfId="1" applyFill="1"/>
    <xf numFmtId="43" fontId="1" fillId="3" borderId="0" xfId="1" applyFill="1"/>
    <xf numFmtId="0" fontId="0" fillId="4" borderId="0" xfId="8" applyFont="1" applyAlignment="1">
      <alignment horizontal="right"/>
    </xf>
    <xf numFmtId="0" fontId="0" fillId="3" borderId="0" xfId="7" applyFont="1" applyAlignment="1">
      <alignment horizontal="right"/>
    </xf>
    <xf numFmtId="0" fontId="9" fillId="0" borderId="3" xfId="4" applyFont="1" applyFill="1" applyBorder="1" applyAlignment="1">
      <alignment horizontal="center"/>
    </xf>
    <xf numFmtId="0" fontId="9" fillId="0" borderId="0" xfId="4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9">
    <cellStyle name="20% - Accent6" xfId="7" builtinId="50"/>
    <cellStyle name="40% - Accent6" xfId="8" builtinId="51"/>
    <cellStyle name="Accent6" xfId="6" builtinId="49"/>
    <cellStyle name="Comma" xfId="1" builtinId="3"/>
    <cellStyle name="Currency" xfId="2" builtinId="4"/>
    <cellStyle name="Explanatory Text" xfId="4" builtinId="53"/>
    <cellStyle name="Heading 1" xfId="3" builtinId="16"/>
    <cellStyle name="Normal" xfId="0" builtinId="0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70-F147-BAA4-DF1E063059F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70-F147-BAA4-DF1E063059F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70-F147-BAA4-DF1E063059F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70-F147-BAA4-DF1E063059F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70-F147-BAA4-DF1E063059F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70-F147-BAA4-DF1E063059F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70-F147-BAA4-DF1E063059F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70-F147-BAA4-DF1E063059FE}"/>
              </c:ext>
            </c:extLst>
          </c:dPt>
          <c:val>
            <c:numRef>
              <c:f>'Monthly Finances'!$B$9:$B$16</c:f>
              <c:numCache>
                <c:formatCode>_("$"* #,##0.00_);_("$"* \(#,##0.00\);_("$"* "-"??_);_(@_)</c:formatCode>
                <c:ptCount val="8"/>
                <c:pt idx="0">
                  <c:v>1500</c:v>
                </c:pt>
                <c:pt idx="1">
                  <c:v>325</c:v>
                </c:pt>
                <c:pt idx="2">
                  <c:v>400</c:v>
                </c:pt>
                <c:pt idx="3">
                  <c:v>0</c:v>
                </c:pt>
                <c:pt idx="4">
                  <c:v>200</c:v>
                </c:pt>
                <c:pt idx="5">
                  <c:v>200</c:v>
                </c:pt>
                <c:pt idx="6">
                  <c:v>100</c:v>
                </c:pt>
                <c:pt idx="7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70-F147-BAA4-DF1E063059FE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270-F147-BAA4-DF1E063059FE}"/>
              </c:ext>
            </c:extLst>
          </c:dPt>
          <c:val>
            <c:numRef>
              <c:f>'Monthly Finances'!$N$9</c:f>
              <c:numCache>
                <c:formatCode>_("$"* #,##0.00_);_("$"* \(#,##0.00\);_("$"* "-"??_);_(@_)</c:formatCode>
                <c:ptCount val="1"/>
                <c:pt idx="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270-F147-BAA4-DF1E063059FE}"/>
            </c:ext>
          </c:extLst>
        </c:ser>
        <c:ser>
          <c:idx val="2"/>
          <c:order val="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270-F147-BAA4-DF1E063059FE}"/>
              </c:ext>
            </c:extLst>
          </c:dPt>
          <c:val>
            <c:numRef>
              <c:f>'Monthly Finances'!$N$16</c:f>
              <c:numCache>
                <c:formatCode>_(* #,##0.00_);_(* \(#,##0.00\);_(* "-"??_);_(@_)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270-F147-BAA4-DF1E063059FE}"/>
            </c:ext>
          </c:extLst>
        </c:ser>
        <c:ser>
          <c:idx val="3"/>
          <c:order val="3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270-F147-BAA4-DF1E063059FE}"/>
              </c:ext>
            </c:extLst>
          </c:dPt>
          <c:val>
            <c:numRef>
              <c:f>'Monthly Finances'!$N$10</c:f>
              <c:numCache>
                <c:formatCode>_(* #,##0.00_);_(* \(#,##0.00\);_(* "-"??_);_(@_)</c:formatCode>
                <c:ptCount val="1"/>
                <c:pt idx="0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270-F147-BAA4-DF1E063059FE}"/>
            </c:ext>
          </c:extLst>
        </c:ser>
        <c:ser>
          <c:idx val="4"/>
          <c:order val="4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270-F147-BAA4-DF1E063059FE}"/>
              </c:ext>
            </c:extLst>
          </c:dPt>
          <c:val>
            <c:numRef>
              <c:f>'Monthly Finances'!$N$15</c:f>
              <c:numCache>
                <c:formatCode>_(* #,##0.00_);_(* \(#,##0.00\);_(* "-"??_);_(@_)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270-F147-BAA4-DF1E063059FE}"/>
            </c:ext>
          </c:extLst>
        </c:ser>
        <c:ser>
          <c:idx val="5"/>
          <c:order val="5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8270-F147-BAA4-DF1E063059FE}"/>
              </c:ext>
            </c:extLst>
          </c:dPt>
          <c:val>
            <c:numRef>
              <c:f>'Monthly Finances'!$N$11</c:f>
              <c:numCache>
                <c:formatCode>_(* #,##0.00_);_(* \(#,##0.00\);_(* "-"??_);_(@_)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270-F147-BAA4-DF1E063059FE}"/>
            </c:ext>
          </c:extLst>
        </c:ser>
        <c:ser>
          <c:idx val="6"/>
          <c:order val="6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270-F147-BAA4-DF1E063059FE}"/>
              </c:ext>
            </c:extLst>
          </c:dPt>
          <c:val>
            <c:numRef>
              <c:f>'Monthly Finances'!$N$14</c:f>
              <c:numCache>
                <c:formatCode>_(* #,##0.00_);_(* \(#,##0.00\);_(* "-"??_);_(@_)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270-F147-BAA4-DF1E063059FE}"/>
            </c:ext>
          </c:extLst>
        </c:ser>
        <c:ser>
          <c:idx val="7"/>
          <c:order val="7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270-F147-BAA4-DF1E063059FE}"/>
              </c:ext>
            </c:extLst>
          </c:dPt>
          <c:val>
            <c:numRef>
              <c:f>'Monthly Finances'!$N$12</c:f>
              <c:numCache>
                <c:formatCode>_(* #,##0.00_);_(* \(#,##0.00\);_(* "-"??_);_(@_)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270-F147-BAA4-DF1E063059FE}"/>
            </c:ext>
          </c:extLst>
        </c:ser>
        <c:ser>
          <c:idx val="8"/>
          <c:order val="8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270-F147-BAA4-DF1E063059FE}"/>
              </c:ext>
            </c:extLst>
          </c:dPt>
          <c:val>
            <c:numRef>
              <c:f>'Monthly Finances'!$N$13</c:f>
              <c:numCache>
                <c:formatCode>_(* #,##0.00_);_(* \(#,##0.00\);_(* "-"??_);_(@_)</c:formatCode>
                <c:ptCount val="1"/>
                <c:pt idx="0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270-F147-BAA4-DF1E06305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092776-313B-2D48-97FB-9F8DF90B1E34}">
  <sheetPr/>
  <sheetViews>
    <sheetView tabSelected="1" zoomScale="123" workbookViewId="0" zoomToFit="1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80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70921-B2C4-8CF3-A096-D804AC484B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082A-E7FB-2247-958E-95FBFE5D6493}">
  <sheetPr>
    <tabColor theme="9"/>
  </sheetPr>
  <dimension ref="A1:N19"/>
  <sheetViews>
    <sheetView zoomScale="144" workbookViewId="0">
      <selection activeCell="F20" sqref="F20"/>
    </sheetView>
  </sheetViews>
  <sheetFormatPr baseColWidth="10" defaultRowHeight="16" x14ac:dyDescent="0.2"/>
  <cols>
    <col min="1" max="1" width="13.1640625" bestFit="1" customWidth="1"/>
    <col min="2" max="9" width="11.5" bestFit="1" customWidth="1"/>
    <col min="10" max="10" width="12.83203125" bestFit="1" customWidth="1"/>
    <col min="11" max="11" width="11.5" bestFit="1" customWidth="1"/>
    <col min="12" max="12" width="12.1640625" bestFit="1" customWidth="1"/>
    <col min="13" max="13" width="12" bestFit="1" customWidth="1"/>
    <col min="14" max="14" width="12.5" bestFit="1" customWidth="1"/>
  </cols>
  <sheetData>
    <row r="1" spans="1:14" ht="2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1" thickBo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ht="17" thickTop="1" x14ac:dyDescent="0.2">
      <c r="A4" s="10" t="s">
        <v>17</v>
      </c>
      <c r="B4" s="14">
        <v>12000</v>
      </c>
      <c r="C4" s="14">
        <v>12000</v>
      </c>
      <c r="D4" s="14">
        <v>14000</v>
      </c>
      <c r="E4" s="14">
        <v>14000</v>
      </c>
      <c r="F4" s="14">
        <v>16000</v>
      </c>
      <c r="G4" s="14">
        <v>18500</v>
      </c>
      <c r="H4" s="14">
        <v>20000</v>
      </c>
      <c r="I4" s="14">
        <v>18500</v>
      </c>
      <c r="J4" s="14">
        <v>18500</v>
      </c>
      <c r="K4" s="14">
        <v>14000</v>
      </c>
      <c r="L4" s="14">
        <v>14000</v>
      </c>
      <c r="M4" s="14">
        <v>16500</v>
      </c>
      <c r="N4" s="14">
        <f t="shared" ref="N4:N6" si="0">SUM(B4:M4)</f>
        <v>188000</v>
      </c>
    </row>
    <row r="5" spans="1:14" x14ac:dyDescent="0.2">
      <c r="A5" s="11" t="s">
        <v>18</v>
      </c>
      <c r="B5" s="15">
        <v>100</v>
      </c>
      <c r="C5" s="15">
        <v>100</v>
      </c>
      <c r="D5" s="15">
        <v>100</v>
      </c>
      <c r="E5" s="15">
        <v>100</v>
      </c>
      <c r="F5" s="15">
        <v>100</v>
      </c>
      <c r="G5" s="15">
        <v>100</v>
      </c>
      <c r="H5" s="15">
        <v>100</v>
      </c>
      <c r="I5" s="15">
        <v>100</v>
      </c>
      <c r="J5" s="15">
        <v>100</v>
      </c>
      <c r="K5" s="15">
        <v>100</v>
      </c>
      <c r="L5" s="15">
        <v>100</v>
      </c>
      <c r="M5" s="15">
        <v>100</v>
      </c>
      <c r="N5" s="15">
        <f t="shared" si="0"/>
        <v>1200</v>
      </c>
    </row>
    <row r="6" spans="1:14" ht="17" thickBot="1" x14ac:dyDescent="0.25">
      <c r="A6" s="5" t="s">
        <v>15</v>
      </c>
      <c r="B6" s="6">
        <f>SUM(B4:B5)</f>
        <v>12100</v>
      </c>
      <c r="C6" s="6">
        <f t="shared" ref="C6:M6" si="1">SUM(C4:C5)</f>
        <v>12100</v>
      </c>
      <c r="D6" s="6">
        <f t="shared" si="1"/>
        <v>14100</v>
      </c>
      <c r="E6" s="6">
        <f t="shared" si="1"/>
        <v>14100</v>
      </c>
      <c r="F6" s="6">
        <f t="shared" si="1"/>
        <v>16100</v>
      </c>
      <c r="G6" s="6">
        <f t="shared" si="1"/>
        <v>18600</v>
      </c>
      <c r="H6" s="6">
        <f t="shared" si="1"/>
        <v>20100</v>
      </c>
      <c r="I6" s="6">
        <f t="shared" si="1"/>
        <v>18600</v>
      </c>
      <c r="J6" s="6">
        <f t="shared" si="1"/>
        <v>18600</v>
      </c>
      <c r="K6" s="6">
        <f t="shared" si="1"/>
        <v>14100</v>
      </c>
      <c r="L6" s="6">
        <f t="shared" si="1"/>
        <v>14100</v>
      </c>
      <c r="M6" s="6">
        <f t="shared" si="1"/>
        <v>16600</v>
      </c>
      <c r="N6" s="6">
        <f t="shared" si="0"/>
        <v>189200</v>
      </c>
    </row>
    <row r="7" spans="1:14" ht="18" thickTop="1" x14ac:dyDescent="0.2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1" thickBot="1" x14ac:dyDescent="0.3">
      <c r="A8" s="4" t="s">
        <v>16</v>
      </c>
      <c r="B8" s="4" t="str">
        <f>B3</f>
        <v>January</v>
      </c>
      <c r="C8" s="4" t="str">
        <f t="shared" ref="C8:L8" si="2">C3</f>
        <v>February</v>
      </c>
      <c r="D8" s="4" t="str">
        <f t="shared" si="2"/>
        <v>March</v>
      </c>
      <c r="E8" s="4" t="str">
        <f t="shared" si="2"/>
        <v>April</v>
      </c>
      <c r="F8" s="4" t="str">
        <f t="shared" si="2"/>
        <v>May</v>
      </c>
      <c r="G8" s="4" t="str">
        <f t="shared" si="2"/>
        <v>June</v>
      </c>
      <c r="H8" s="4" t="str">
        <f t="shared" si="2"/>
        <v>July</v>
      </c>
      <c r="I8" s="4" t="str">
        <f t="shared" si="2"/>
        <v>August</v>
      </c>
      <c r="J8" s="4" t="str">
        <f t="shared" si="2"/>
        <v>September</v>
      </c>
      <c r="K8" s="4" t="str">
        <f t="shared" si="2"/>
        <v>October</v>
      </c>
      <c r="L8" s="4" t="str">
        <f t="shared" si="2"/>
        <v>November</v>
      </c>
      <c r="M8" s="4" t="str">
        <f>M3</f>
        <v>December</v>
      </c>
      <c r="N8" s="4" t="s">
        <v>15</v>
      </c>
    </row>
    <row r="9" spans="1:14" ht="17" thickTop="1" x14ac:dyDescent="0.2">
      <c r="A9" s="10" t="s">
        <v>19</v>
      </c>
      <c r="B9" s="12">
        <v>1500</v>
      </c>
      <c r="C9" s="12">
        <v>1500</v>
      </c>
      <c r="D9" s="12">
        <v>1500</v>
      </c>
      <c r="E9" s="12">
        <v>1500</v>
      </c>
      <c r="F9" s="12">
        <v>1500</v>
      </c>
      <c r="G9" s="12">
        <v>1500</v>
      </c>
      <c r="H9" s="12">
        <v>1500</v>
      </c>
      <c r="I9" s="12">
        <v>1500</v>
      </c>
      <c r="J9" s="12">
        <v>1500</v>
      </c>
      <c r="K9" s="12">
        <v>1500</v>
      </c>
      <c r="L9" s="12">
        <v>1500</v>
      </c>
      <c r="M9" s="12">
        <v>1500</v>
      </c>
      <c r="N9" s="12">
        <f>SUM(B9:M9)</f>
        <v>18000</v>
      </c>
    </row>
    <row r="10" spans="1:14" x14ac:dyDescent="0.2">
      <c r="A10" s="11" t="s">
        <v>20</v>
      </c>
      <c r="B10" s="13">
        <v>325</v>
      </c>
      <c r="C10" s="13">
        <v>325</v>
      </c>
      <c r="D10" s="16">
        <v>325</v>
      </c>
      <c r="E10" s="16">
        <v>325</v>
      </c>
      <c r="F10" s="16">
        <v>325</v>
      </c>
      <c r="G10" s="16">
        <v>325</v>
      </c>
      <c r="H10" s="16">
        <v>325</v>
      </c>
      <c r="I10" s="16">
        <v>325</v>
      </c>
      <c r="J10" s="16">
        <v>325</v>
      </c>
      <c r="K10" s="16">
        <v>325</v>
      </c>
      <c r="L10" s="16">
        <v>325</v>
      </c>
      <c r="M10" s="16">
        <v>325</v>
      </c>
      <c r="N10" s="16">
        <f>SUM(B10:M10)</f>
        <v>3900</v>
      </c>
    </row>
    <row r="11" spans="1:14" x14ac:dyDescent="0.2">
      <c r="A11" s="10" t="s">
        <v>21</v>
      </c>
      <c r="B11" s="12">
        <v>400</v>
      </c>
      <c r="C11" s="12">
        <v>400</v>
      </c>
      <c r="D11" s="17">
        <v>400</v>
      </c>
      <c r="E11" s="17">
        <v>400</v>
      </c>
      <c r="F11" s="17">
        <v>400</v>
      </c>
      <c r="G11" s="17">
        <v>400</v>
      </c>
      <c r="H11" s="17">
        <v>400</v>
      </c>
      <c r="I11" s="17">
        <v>400</v>
      </c>
      <c r="J11" s="17">
        <v>400</v>
      </c>
      <c r="K11" s="17">
        <v>400</v>
      </c>
      <c r="L11" s="17">
        <v>400</v>
      </c>
      <c r="M11" s="17">
        <v>400</v>
      </c>
      <c r="N11" s="17">
        <f t="shared" ref="N11:N16" si="3">SUM(B11:M11)</f>
        <v>4800</v>
      </c>
    </row>
    <row r="12" spans="1:14" x14ac:dyDescent="0.2">
      <c r="A12" s="11" t="s">
        <v>22</v>
      </c>
      <c r="B12" s="13">
        <v>0</v>
      </c>
      <c r="C12" s="13">
        <v>0</v>
      </c>
      <c r="D12" s="16">
        <v>0</v>
      </c>
      <c r="E12" s="16">
        <v>0</v>
      </c>
      <c r="F12" s="16">
        <v>0</v>
      </c>
      <c r="G12" s="16">
        <v>0</v>
      </c>
      <c r="H12" s="16">
        <v>500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f t="shared" si="3"/>
        <v>500</v>
      </c>
    </row>
    <row r="13" spans="1:14" x14ac:dyDescent="0.2">
      <c r="A13" s="10" t="s">
        <v>23</v>
      </c>
      <c r="B13" s="12">
        <v>200</v>
      </c>
      <c r="C13" s="12">
        <v>200</v>
      </c>
      <c r="D13" s="17">
        <v>200</v>
      </c>
      <c r="E13" s="17">
        <v>200</v>
      </c>
      <c r="F13" s="17">
        <v>200</v>
      </c>
      <c r="G13" s="17">
        <v>200</v>
      </c>
      <c r="H13" s="17">
        <v>200</v>
      </c>
      <c r="I13" s="17">
        <v>200</v>
      </c>
      <c r="J13" s="17">
        <v>200</v>
      </c>
      <c r="K13" s="17">
        <v>200</v>
      </c>
      <c r="L13" s="17">
        <v>200</v>
      </c>
      <c r="M13" s="17">
        <v>200</v>
      </c>
      <c r="N13" s="17">
        <f t="shared" si="3"/>
        <v>2400</v>
      </c>
    </row>
    <row r="14" spans="1:14" x14ac:dyDescent="0.2">
      <c r="A14" s="11" t="s">
        <v>24</v>
      </c>
      <c r="B14" s="13">
        <v>200</v>
      </c>
      <c r="C14" s="13">
        <v>0</v>
      </c>
      <c r="D14" s="16">
        <v>0</v>
      </c>
      <c r="E14" s="16">
        <v>200</v>
      </c>
      <c r="F14" s="16">
        <v>0</v>
      </c>
      <c r="G14" s="16">
        <v>0</v>
      </c>
      <c r="H14" s="16">
        <v>200</v>
      </c>
      <c r="I14" s="16">
        <v>0</v>
      </c>
      <c r="J14" s="16">
        <v>0</v>
      </c>
      <c r="K14" s="16">
        <v>200</v>
      </c>
      <c r="L14" s="16">
        <v>0</v>
      </c>
      <c r="M14" s="16">
        <v>0</v>
      </c>
      <c r="N14" s="16">
        <f t="shared" si="3"/>
        <v>800</v>
      </c>
    </row>
    <row r="15" spans="1:14" x14ac:dyDescent="0.2">
      <c r="A15" s="19" t="s">
        <v>25</v>
      </c>
      <c r="B15" s="12">
        <v>100</v>
      </c>
      <c r="C15" s="12">
        <v>100</v>
      </c>
      <c r="D15" s="17">
        <v>100</v>
      </c>
      <c r="E15" s="17">
        <v>100</v>
      </c>
      <c r="F15" s="17">
        <v>100</v>
      </c>
      <c r="G15" s="17">
        <v>100</v>
      </c>
      <c r="H15" s="17">
        <v>100</v>
      </c>
      <c r="I15" s="17">
        <v>100</v>
      </c>
      <c r="J15" s="17">
        <v>100</v>
      </c>
      <c r="K15" s="17">
        <v>100</v>
      </c>
      <c r="L15" s="17">
        <v>100</v>
      </c>
      <c r="M15" s="17">
        <v>100</v>
      </c>
      <c r="N15" s="17">
        <f t="shared" si="3"/>
        <v>1200</v>
      </c>
    </row>
    <row r="16" spans="1:14" x14ac:dyDescent="0.2">
      <c r="A16" s="18" t="s">
        <v>26</v>
      </c>
      <c r="B16" s="13">
        <v>250</v>
      </c>
      <c r="C16" s="13">
        <v>250</v>
      </c>
      <c r="D16" s="16">
        <v>250</v>
      </c>
      <c r="E16" s="16">
        <v>250</v>
      </c>
      <c r="F16" s="16">
        <v>250</v>
      </c>
      <c r="G16" s="16">
        <v>250</v>
      </c>
      <c r="H16" s="16">
        <v>250</v>
      </c>
      <c r="I16" s="16">
        <v>250</v>
      </c>
      <c r="J16" s="16">
        <v>250</v>
      </c>
      <c r="K16" s="16">
        <v>250</v>
      </c>
      <c r="L16" s="16">
        <v>250</v>
      </c>
      <c r="M16" s="16">
        <v>250</v>
      </c>
      <c r="N16" s="16">
        <f t="shared" si="3"/>
        <v>3000</v>
      </c>
    </row>
    <row r="17" spans="1:14" ht="17" thickBot="1" x14ac:dyDescent="0.25">
      <c r="A17" s="5" t="s">
        <v>15</v>
      </c>
      <c r="B17" s="7">
        <f>SUM(B9:B16)</f>
        <v>2975</v>
      </c>
      <c r="C17" s="7">
        <f t="shared" ref="C17:M17" si="4">SUM(C9:C16)</f>
        <v>2775</v>
      </c>
      <c r="D17" s="7">
        <f t="shared" si="4"/>
        <v>2775</v>
      </c>
      <c r="E17" s="7">
        <f>SUM(E9:E16)</f>
        <v>2975</v>
      </c>
      <c r="F17" s="7">
        <f t="shared" si="4"/>
        <v>2775</v>
      </c>
      <c r="G17" s="7">
        <f t="shared" si="4"/>
        <v>2775</v>
      </c>
      <c r="H17" s="7">
        <f t="shared" si="4"/>
        <v>3475</v>
      </c>
      <c r="I17" s="7">
        <f t="shared" si="4"/>
        <v>2775</v>
      </c>
      <c r="J17" s="7">
        <f t="shared" si="4"/>
        <v>2775</v>
      </c>
      <c r="K17" s="7">
        <f t="shared" si="4"/>
        <v>2975</v>
      </c>
      <c r="L17" s="7">
        <f t="shared" si="4"/>
        <v>2775</v>
      </c>
      <c r="M17" s="7">
        <f t="shared" si="4"/>
        <v>2775</v>
      </c>
      <c r="N17" s="7">
        <f>SUM(N9:N16)</f>
        <v>34600</v>
      </c>
    </row>
    <row r="18" spans="1:14" ht="18" thickTop="1" x14ac:dyDescent="0.2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8" t="s">
        <v>27</v>
      </c>
      <c r="B19" s="9">
        <f>B6-B17</f>
        <v>9125</v>
      </c>
      <c r="C19" s="9">
        <f>C6-C17</f>
        <v>9325</v>
      </c>
      <c r="D19" s="9">
        <f t="shared" ref="D19:M19" si="5">D6-D17</f>
        <v>11325</v>
      </c>
      <c r="E19" s="9">
        <f t="shared" si="5"/>
        <v>11125</v>
      </c>
      <c r="F19" s="9">
        <f t="shared" si="5"/>
        <v>13325</v>
      </c>
      <c r="G19" s="9">
        <f t="shared" si="5"/>
        <v>15825</v>
      </c>
      <c r="H19" s="9">
        <f t="shared" si="5"/>
        <v>16625</v>
      </c>
      <c r="I19" s="9">
        <f t="shared" si="5"/>
        <v>15825</v>
      </c>
      <c r="J19" s="9">
        <f t="shared" si="5"/>
        <v>15825</v>
      </c>
      <c r="K19" s="9">
        <f t="shared" si="5"/>
        <v>11125</v>
      </c>
      <c r="L19" s="9">
        <f t="shared" si="5"/>
        <v>11325</v>
      </c>
      <c r="M19" s="9">
        <f t="shared" si="5"/>
        <v>13825</v>
      </c>
      <c r="N19" s="9">
        <f>N6-N17</f>
        <v>154600</v>
      </c>
    </row>
  </sheetData>
  <mergeCells count="2">
    <mergeCell ref="A1:N1"/>
    <mergeCell ref="A2:N2"/>
  </mergeCells>
  <phoneticPr fontId="6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Monthly Finances</vt:lpstr>
      <vt:lpstr>Monthly Expense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Korman</dc:creator>
  <cp:keywords/>
  <dc:description/>
  <cp:lastModifiedBy>Joseph Korman</cp:lastModifiedBy>
  <dcterms:created xsi:type="dcterms:W3CDTF">2025-01-28T18:47:16Z</dcterms:created>
  <dcterms:modified xsi:type="dcterms:W3CDTF">2025-03-10T19:22:06Z</dcterms:modified>
  <cp:category/>
</cp:coreProperties>
</file>