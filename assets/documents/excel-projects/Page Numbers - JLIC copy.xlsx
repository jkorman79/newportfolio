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korman/Desktop/Excel Funsies/"/>
    </mc:Choice>
  </mc:AlternateContent>
  <xr:revisionPtr revIDLastSave="0" documentId="13_ncr:1_{0F3AE78C-581B-1445-820C-C6E73A50208C}" xr6:coauthVersionLast="47" xr6:coauthVersionMax="47" xr10:uidLastSave="{00000000-0000-0000-0000-000000000000}"/>
  <bookViews>
    <workbookView xWindow="0" yWindow="760" windowWidth="30100" windowHeight="17440" xr2:uid="{AB4B8EEF-20AC-F246-828E-91FB539C7A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1" l="1"/>
  <c r="D76" i="1"/>
  <c r="C78" i="1"/>
  <c r="D78" i="1"/>
</calcChain>
</file>

<file path=xl/sharedStrings.xml><?xml version="1.0" encoding="utf-8"?>
<sst xmlns="http://schemas.openxmlformats.org/spreadsheetml/2006/main" count="128" uniqueCount="88">
  <si>
    <t>Page Numbers</t>
  </si>
  <si>
    <t>Parsha</t>
  </si>
  <si>
    <t>Koren Shabbat Siddur</t>
  </si>
  <si>
    <t>Koren Chumash</t>
  </si>
  <si>
    <t>Bereishit</t>
  </si>
  <si>
    <t>Noach</t>
  </si>
  <si>
    <t>Lech Lecha</t>
  </si>
  <si>
    <t>Vayera</t>
  </si>
  <si>
    <t>Chayei Sarah</t>
  </si>
  <si>
    <t>Toldot</t>
  </si>
  <si>
    <t>Vayetzei</t>
  </si>
  <si>
    <t>Vayishlach</t>
  </si>
  <si>
    <t>Vayeshev</t>
  </si>
  <si>
    <t>Mikeitz</t>
  </si>
  <si>
    <t>Vayigash</t>
  </si>
  <si>
    <t>Vayechi</t>
  </si>
  <si>
    <t>Shemot</t>
  </si>
  <si>
    <t>Vaera</t>
  </si>
  <si>
    <t>Bo</t>
  </si>
  <si>
    <t>Beshalach</t>
  </si>
  <si>
    <t>Mishpatim</t>
  </si>
  <si>
    <t>Terumah</t>
  </si>
  <si>
    <t>Tetzaveh</t>
  </si>
  <si>
    <t>Ki Tisa</t>
  </si>
  <si>
    <t>Vayakhel</t>
  </si>
  <si>
    <t>Pekudei</t>
  </si>
  <si>
    <t>Vayikra</t>
  </si>
  <si>
    <t>Tzav</t>
  </si>
  <si>
    <t>Shemini</t>
  </si>
  <si>
    <t>Tazria</t>
  </si>
  <si>
    <t>Metzorah</t>
  </si>
  <si>
    <t>Acharei Mot</t>
  </si>
  <si>
    <t>Kedoshim</t>
  </si>
  <si>
    <t>Emor</t>
  </si>
  <si>
    <t>Behar</t>
  </si>
  <si>
    <t>Bechukotai</t>
  </si>
  <si>
    <t>Bamidbar</t>
  </si>
  <si>
    <t>Naso</t>
  </si>
  <si>
    <t>Behaalotecha</t>
  </si>
  <si>
    <t>Shelach</t>
  </si>
  <si>
    <t>Korach</t>
  </si>
  <si>
    <t>Chukat</t>
  </si>
  <si>
    <t>Balak</t>
  </si>
  <si>
    <t>Pinchas</t>
  </si>
  <si>
    <t>Matot</t>
  </si>
  <si>
    <t>Masei</t>
  </si>
  <si>
    <t>Devarim</t>
  </si>
  <si>
    <t>Eikev</t>
  </si>
  <si>
    <t>Re'eh</t>
  </si>
  <si>
    <t>Shoftim</t>
  </si>
  <si>
    <t>Ki Teitzei</t>
  </si>
  <si>
    <t>Ki Tavo</t>
  </si>
  <si>
    <t>Nitzavim</t>
  </si>
  <si>
    <t>Vayeilech</t>
  </si>
  <si>
    <t>Ha'azinu</t>
  </si>
  <si>
    <t>V'zot Habracha</t>
  </si>
  <si>
    <t>Shekalim</t>
  </si>
  <si>
    <t>Zachor</t>
  </si>
  <si>
    <t>Parah</t>
  </si>
  <si>
    <t>Hachodesh</t>
  </si>
  <si>
    <t>Rosh Chodesh</t>
  </si>
  <si>
    <t>Haftorah</t>
  </si>
  <si>
    <t>בראשית</t>
  </si>
  <si>
    <t>KSS</t>
  </si>
  <si>
    <t>KC</t>
  </si>
  <si>
    <t>שמות</t>
  </si>
  <si>
    <t>ויקרא</t>
  </si>
  <si>
    <t>במדבר</t>
  </si>
  <si>
    <t>דברים</t>
  </si>
  <si>
    <t>Torah Reading</t>
  </si>
  <si>
    <t>Chanukah Day 2-3</t>
  </si>
  <si>
    <t>Chanukah Day 4-6</t>
  </si>
  <si>
    <t>Chanukah Day 7-8</t>
  </si>
  <si>
    <t>**Yitro 10 Comm.</t>
  </si>
  <si>
    <t>Yitro**</t>
  </si>
  <si>
    <t>**Va'Etchanan 10 Comm.</t>
  </si>
  <si>
    <t>Va'Etchanan**</t>
  </si>
  <si>
    <t>Erev Rosh Chodesh</t>
  </si>
  <si>
    <t>Shabbat HaGadol</t>
  </si>
  <si>
    <t>Shir HaShirim</t>
  </si>
  <si>
    <t>Rut</t>
  </si>
  <si>
    <t>Eicha</t>
  </si>
  <si>
    <t>Kohelet</t>
  </si>
  <si>
    <t>Esther</t>
  </si>
  <si>
    <t>5 Megillot</t>
  </si>
  <si>
    <t>Standard Koren Siddur</t>
  </si>
  <si>
    <t>Additional Readings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</si>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</sst>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2"/>
      <color theme="0"/>
      <name val="Aptos Narrow"/>
      <family val="2"/>
      <scheme val="minor"/>
    </font>
    <font>
      <sz val="12"/>
      <color theme="1"/>
      <name val="Arial Hebrew Bold"/>
    </font>
    <font>
      <sz val="8"/>
      <name val="Aptos Narrow"/>
      <family val="2"/>
      <scheme val="minor"/>
    </font>
    <font>
      <b/>
      <sz val="12"/>
      <color theme="0"/>
      <name val="Aptos Narrow (Body)"/>
    </font>
    <font>
      <sz val="25"/>
      <color theme="0"/>
      <name val="Arial Rounded MT Bold"/>
      <family val="2"/>
    </font>
    <font>
      <sz val="12"/>
      <color theme="4" tint="-0.249977111117893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B29669"/>
        <bgColor indexed="64"/>
      </patternFill>
    </fill>
    <fill>
      <patternFill patternType="solid">
        <fgColor rgb="FFEEC789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5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5"/>
      </patternFill>
    </fill>
    <fill>
      <patternFill patternType="solid">
        <fgColor rgb="FF6F5D40"/>
        <bgColor theme="1"/>
      </patternFill>
    </fill>
    <fill>
      <patternFill patternType="solid">
        <fgColor rgb="FF6F5D40"/>
        <bgColor indexed="64"/>
      </patternFill>
    </fill>
    <fill>
      <patternFill patternType="solid">
        <fgColor rgb="FF6F5D40"/>
        <bgColor theme="5"/>
      </patternFill>
    </fill>
    <fill>
      <patternFill patternType="solid">
        <fgColor theme="8"/>
        <bgColor indexed="64"/>
      </patternFill>
    </fill>
    <fill>
      <patternFill patternType="solid">
        <fgColor theme="8"/>
        <bgColor theme="5"/>
      </patternFill>
    </fill>
    <fill>
      <patternFill patternType="solid">
        <fgColor theme="5"/>
        <bgColor theme="6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5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theme="6" tint="0.59999389629810485"/>
      </patternFill>
    </fill>
    <fill>
      <patternFill patternType="solid">
        <fgColor theme="6" tint="0.59999389629810485"/>
        <bgColor theme="6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5"/>
      </patternFill>
    </fill>
  </fills>
  <borders count="31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theme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6">
    <xf numFmtId="0" fontId="0" fillId="0" borderId="0" xfId="0"/>
    <xf numFmtId="0" fontId="6" fillId="0" borderId="0" xfId="1" applyFont="1" applyFill="1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7" borderId="20" xfId="0" applyFill="1" applyBorder="1"/>
    <xf numFmtId="0" fontId="0" fillId="8" borderId="15" xfId="0" applyFill="1" applyBorder="1"/>
    <xf numFmtId="0" fontId="0" fillId="7" borderId="15" xfId="0" applyFill="1" applyBorder="1"/>
    <xf numFmtId="0" fontId="0" fillId="7" borderId="22" xfId="0" applyFill="1" applyBorder="1"/>
    <xf numFmtId="0" fontId="0" fillId="8" borderId="16" xfId="0" applyFill="1" applyBorder="1"/>
    <xf numFmtId="0" fontId="0" fillId="5" borderId="15" xfId="0" applyFill="1" applyBorder="1"/>
    <xf numFmtId="0" fontId="0" fillId="4" borderId="15" xfId="0" applyFill="1" applyBorder="1"/>
    <xf numFmtId="0" fontId="2" fillId="20" borderId="28" xfId="0" applyFont="1" applyFill="1" applyBorder="1"/>
    <xf numFmtId="0" fontId="2" fillId="2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18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3" borderId="28" xfId="0" applyFont="1" applyFill="1" applyBorder="1"/>
    <xf numFmtId="0" fontId="2" fillId="11" borderId="18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6" borderId="28" xfId="0" applyFont="1" applyFill="1" applyBorder="1"/>
    <xf numFmtId="0" fontId="2" fillId="13" borderId="18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2" fillId="15" borderId="28" xfId="0" applyFont="1" applyFill="1" applyBorder="1"/>
    <xf numFmtId="0" fontId="2" fillId="16" borderId="18" xfId="0" applyFont="1" applyFill="1" applyBorder="1" applyAlignment="1">
      <alignment horizontal="center"/>
    </xf>
    <xf numFmtId="0" fontId="2" fillId="19" borderId="2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2" fillId="9" borderId="28" xfId="0" applyFont="1" applyFill="1" applyBorder="1"/>
    <xf numFmtId="0" fontId="2" fillId="18" borderId="18" xfId="0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right"/>
    </xf>
    <xf numFmtId="0" fontId="2" fillId="21" borderId="1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7" borderId="21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25" borderId="15" xfId="0" applyFill="1" applyBorder="1"/>
    <xf numFmtId="0" fontId="0" fillId="25" borderId="2" xfId="0" applyFill="1" applyBorder="1" applyAlignment="1">
      <alignment horizontal="center"/>
    </xf>
    <xf numFmtId="0" fontId="0" fillId="24" borderId="15" xfId="0" applyFill="1" applyBorder="1"/>
    <xf numFmtId="0" fontId="0" fillId="24" borderId="2" xfId="0" applyFill="1" applyBorder="1" applyAlignment="1">
      <alignment horizontal="center"/>
    </xf>
    <xf numFmtId="0" fontId="7" fillId="24" borderId="2" xfId="0" applyFont="1" applyFill="1" applyBorder="1" applyAlignment="1">
      <alignment horizontal="center"/>
    </xf>
    <xf numFmtId="0" fontId="0" fillId="5" borderId="16" xfId="0" applyFill="1" applyBorder="1"/>
    <xf numFmtId="0" fontId="0" fillId="5" borderId="17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7" borderId="8" xfId="0" applyFont="1" applyFill="1" applyBorder="1" applyAlignment="1">
      <alignment horizontal="center"/>
    </xf>
    <xf numFmtId="0" fontId="2" fillId="27" borderId="9" xfId="0" applyFont="1" applyFill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6" xfId="0" applyBorder="1" applyAlignment="1">
      <alignment horizontal="center"/>
    </xf>
    <xf numFmtId="0" fontId="5" fillId="26" borderId="7" xfId="0" applyFont="1" applyFill="1" applyBorder="1" applyAlignment="1">
      <alignment horizontal="left"/>
    </xf>
    <xf numFmtId="0" fontId="5" fillId="21" borderId="15" xfId="0" applyFont="1" applyFill="1" applyBorder="1" applyAlignment="1">
      <alignment horizontal="left"/>
    </xf>
    <xf numFmtId="0" fontId="3" fillId="18" borderId="15" xfId="0" applyFont="1" applyFill="1" applyBorder="1" applyAlignment="1">
      <alignment horizontal="left"/>
    </xf>
    <xf numFmtId="0" fontId="3" fillId="16" borderId="15" xfId="0" applyFont="1" applyFill="1" applyBorder="1" applyAlignment="1">
      <alignment horizontal="left"/>
    </xf>
    <xf numFmtId="0" fontId="3" fillId="13" borderId="15" xfId="0" applyFont="1" applyFill="1" applyBorder="1" applyAlignment="1">
      <alignment horizontal="left"/>
    </xf>
    <xf numFmtId="0" fontId="3" fillId="11" borderId="15" xfId="0" applyFont="1" applyFill="1" applyBorder="1" applyAlignment="1">
      <alignment horizontal="left"/>
    </xf>
    <xf numFmtId="0" fontId="3" fillId="10" borderId="15" xfId="0" applyFont="1" applyFill="1" applyBorder="1" applyAlignment="1">
      <alignment horizontal="left"/>
    </xf>
    <xf numFmtId="0" fontId="0" fillId="5" borderId="2" xfId="0" quotePrefix="1" applyFill="1" applyBorder="1" applyAlignment="1">
      <alignment horizontal="center"/>
    </xf>
    <xf numFmtId="0" fontId="0" fillId="5" borderId="17" xfId="0" quotePrefix="1" applyFill="1" applyBorder="1" applyAlignment="1">
      <alignment horizontal="center"/>
    </xf>
    <xf numFmtId="0" fontId="0" fillId="5" borderId="19" xfId="0" quotePrefix="1" applyFill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6" fillId="23" borderId="25" xfId="1" applyFont="1" applyFill="1" applyBorder="1" applyAlignment="1">
      <alignment horizontal="center" vertical="center"/>
    </xf>
    <xf numFmtId="0" fontId="6" fillId="23" borderId="26" xfId="1" applyFont="1" applyFill="1" applyBorder="1" applyAlignment="1">
      <alignment horizontal="center" vertical="center"/>
    </xf>
    <xf numFmtId="0" fontId="6" fillId="23" borderId="27" xfId="1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/>
    </xf>
    <xf numFmtId="0" fontId="2" fillId="6" borderId="30" xfId="0" applyFont="1" applyFill="1" applyBorder="1" applyAlignment="1">
      <alignment horizontal="center"/>
    </xf>
    <xf numFmtId="0" fontId="2" fillId="15" borderId="29" xfId="0" applyFont="1" applyFill="1" applyBorder="1" applyAlignment="1">
      <alignment horizontal="center"/>
    </xf>
    <xf numFmtId="0" fontId="2" fillId="15" borderId="30" xfId="0" applyFont="1" applyFill="1" applyBorder="1" applyAlignment="1">
      <alignment horizontal="center"/>
    </xf>
    <xf numFmtId="0" fontId="2" fillId="22" borderId="29" xfId="0" applyFont="1" applyFill="1" applyBorder="1" applyAlignment="1">
      <alignment horizontal="center"/>
    </xf>
    <xf numFmtId="0" fontId="2" fillId="21" borderId="29" xfId="0" applyFont="1" applyFill="1" applyBorder="1" applyAlignment="1">
      <alignment horizontal="center"/>
    </xf>
    <xf numFmtId="0" fontId="2" fillId="21" borderId="30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9" borderId="29" xfId="0" applyFont="1" applyFill="1" applyBorder="1" applyAlignment="1">
      <alignment horizontal="center"/>
    </xf>
    <xf numFmtId="0" fontId="2" fillId="9" borderId="30" xfId="0" applyFont="1" applyFill="1" applyBorder="1" applyAlignment="1">
      <alignment horizontal="center"/>
    </xf>
    <xf numFmtId="0" fontId="0" fillId="24" borderId="5" xfId="0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0" fillId="24" borderId="23" xfId="0" applyFill="1" applyBorder="1" applyAlignment="1">
      <alignment horizontal="center" vertical="center"/>
    </xf>
    <xf numFmtId="0" fontId="0" fillId="24" borderId="21" xfId="0" applyFill="1" applyBorder="1" applyAlignment="1">
      <alignment horizontal="center" vertical="center"/>
    </xf>
  </cellXfs>
  <cellStyles count="2">
    <cellStyle name="Normal" xfId="0" builtinId="0"/>
    <cellStyle name="Title" xfId="1" builtinId="15"/>
  </cellStyles>
  <dxfs count="41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ill>
        <patternFill patternType="solid">
          <bgColor theme="6" tint="0.399975585192419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rgb="FFB2966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solid">
          <fgColor indexed="64"/>
          <bgColor rgb="FFB2966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/>
        <right/>
        <top/>
        <bottom/>
      </border>
    </dxf>
    <dxf>
      <border>
        <bottom style="thin">
          <color theme="0"/>
        </bottom>
      </border>
    </dxf>
    <dxf>
      <fill>
        <patternFill patternType="solid">
          <bgColor rgb="FF6F5D40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theme="0"/>
        </bottom>
      </border>
    </dxf>
    <dxf>
      <fill>
        <patternFill patternType="solid">
          <bgColor theme="8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theme="0"/>
        </bottom>
      </border>
    </dxf>
    <dxf>
      <fill>
        <patternFill patternType="solid">
          <bgColor theme="4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theme="0"/>
        </bottom>
      </border>
    </dxf>
    <dxf>
      <fill>
        <patternFill patternType="solid">
          <bgColor theme="6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theme="0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</dxfs>
  <tableStyles count="0" defaultTableStyle="TableStyleMedium2" defaultPivotStyle="PivotStyleLight16"/>
  <colors>
    <mruColors>
      <color rgb="FF6F5D40"/>
      <color rgb="FFEEC789"/>
      <color rgb="FFB296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015FA9-175A-AE43-A163-11980DD40410}" name="Table2" displayName="Table2" ref="B4:F16" totalsRowShown="0" headerRowDxfId="40" headerRowBorderDxfId="39">
  <autoFilter ref="B4:F16" xr:uid="{5A015FA9-175A-AE43-A163-11980DD4041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86D886B-E37F-9845-A2C7-0B1EBC622866}" name="בראשית"/>
    <tableColumn id="2" xr3:uid="{3740C6DC-1B70-0045-A67B-CE5F751A3D2A}" name="Koren Shabbat Siddur" dataDxfId="38"/>
    <tableColumn id="3" xr3:uid="{1D5B1DD3-95D0-BE4F-A6B9-2E6857DE2392}" name="Koren Chumash" dataDxfId="37"/>
    <tableColumn id="4" xr3:uid="{C7EF2D1F-7067-DC4E-AA23-A2329D0E98BC}" name="KSS" dataDxfId="36"/>
    <tableColumn id="5" xr3:uid="{DC879846-289B-274C-AEF5-60C4E49550CD}" name="KC" dataDxfId="35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C73AA5-2867-8E48-8A31-0B0A3203848B}" name="Table3" displayName="Table3" ref="B19:F30" totalsRowShown="0" headerRowDxfId="34" headerRowBorderDxfId="33">
  <autoFilter ref="B19:F30" xr:uid="{8EC73AA5-2867-8E48-8A31-0B0A3203848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B5D43FD-1D62-F745-8E3A-08441D26D3E0}" name="שמות"/>
    <tableColumn id="2" xr3:uid="{5FCEB455-23E8-F84F-9F1E-FF3F6F9A3591}" name="Koren Shabbat Siddur" dataDxfId="32"/>
    <tableColumn id="3" xr3:uid="{89E49F95-AC28-0C49-AE7C-C3FE1298E93E}" name="Koren Chumash" dataDxfId="31"/>
    <tableColumn id="4" xr3:uid="{26B10E62-ADF1-5C4B-8F35-38C48A181DA3}" name="KSS" dataDxfId="30"/>
    <tableColumn id="5" xr3:uid="{917DFCB6-2E65-1E42-80AC-132FFC597E12}" name="KC" dataDxfId="29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339698-604A-9A4E-BD60-950B3C1B34B5}" name="Table4" displayName="Table4" ref="B33:F43" totalsRowShown="0" headerRowDxfId="28" headerRowBorderDxfId="27">
  <autoFilter ref="B33:F43" xr:uid="{AA339698-604A-9A4E-BD60-950B3C1B34B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B2D17C3-95D8-7C4E-ABD0-D681003F89D4}" name="ויקרא"/>
    <tableColumn id="2" xr3:uid="{BC29D2DF-EAEC-8A4B-BFB0-45E2FDAA0845}" name="Koren Shabbat Siddur" dataDxfId="26"/>
    <tableColumn id="3" xr3:uid="{D4CA9CC3-B5E1-7C47-8F7C-3E3FD11F6CAB}" name="Koren Chumash" dataDxfId="25"/>
    <tableColumn id="4" xr3:uid="{A5704ED9-7AC8-E545-A249-E63A6D1D1FD0}" name="KSS" dataDxfId="24"/>
    <tableColumn id="5" xr3:uid="{9C8CBC61-44E8-1745-A05B-997A0D6EF2F0}" name="KC" dataDxfId="2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E04E13-9BEE-5048-82B5-2B5A7A9A56CA}" name="Table6" displayName="Table6" ref="B59:F70" totalsRowShown="0" headerRowDxfId="22" headerRowBorderDxfId="21">
  <autoFilter ref="B59:F70" xr:uid="{17E04E13-9BEE-5048-82B5-2B5A7A9A56C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BB8A4BC-67B3-9A46-B57D-7C79D6431E90}" name="דברים"/>
    <tableColumn id="2" xr3:uid="{40C3F841-5BE6-B64C-9078-B0C8D6B7C614}" name="Koren Shabbat Siddur" dataDxfId="20"/>
    <tableColumn id="3" xr3:uid="{0AEA9D13-6102-FB43-9CC0-CD4821C81F61}" name="Koren Chumash" dataDxfId="19"/>
    <tableColumn id="4" xr3:uid="{3FFBB748-CA36-9C4C-8A96-A7A2292ABED0}" name="KSS" dataDxfId="18"/>
    <tableColumn id="5" xr3:uid="{047DBB06-EF07-4A40-95E5-89D4C891972B}" name="KC" dataDxfId="17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331A5C-052C-CA4A-98D6-58D367C163D7}" name="Table58" displayName="Table58" ref="B46:F56" totalsRowShown="0" headerRowDxfId="16" headerRowBorderDxfId="15" tableBorderDxfId="14" totalsRowBorderDxfId="13">
  <autoFilter ref="B46:F56" xr:uid="{30331A5C-052C-CA4A-98D6-58D367C163D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D02FE4D-80E8-794E-BCDF-B415342568E5}" name="במדבר" dataDxfId="12"/>
    <tableColumn id="2" xr3:uid="{85CB3A4E-97E3-E84C-B29B-08970CD8B9F7}" name="Koren Shabbat Siddur" dataDxfId="11"/>
    <tableColumn id="3" xr3:uid="{EB431A37-4193-A14A-B647-0E7F0016E0FC}" name="Koren Chumash" dataDxfId="10"/>
    <tableColumn id="4" xr3:uid="{F3C2AA0B-1285-0441-B3FA-70C257F5B523}" name="KSS" dataDxfId="9"/>
    <tableColumn id="5" xr3:uid="{6AC1CE7F-C25A-954C-98BE-ADBB5E8A6B88}" name="KC" dataDxfId="8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96EC32-AC50-A048-B5B0-5190E02AFF0A}" name="Table5" displayName="Table5" ref="A1:C6" totalsRowShown="0" headerRowDxfId="7" dataDxfId="5" headerRowBorderDxfId="6" tableBorderDxfId="4" totalsRowBorderDxfId="3">
  <autoFilter ref="A1:C6" xr:uid="{4096EC32-AC50-A048-B5B0-5190E02AFF0A}"/>
  <tableColumns count="3">
    <tableColumn id="1" xr3:uid="{357DC24D-723A-C74C-B391-2D8080C13BD8}" name="5 Megillot" dataDxfId="2"/>
    <tableColumn id="2" xr3:uid="{20E9E60F-5490-0440-B60B-BC56A94C9DDB}" name="Standard Koren Siddur" dataDxfId="1"/>
    <tableColumn id="3" xr3:uid="{F921D7C0-50C5-6E42-A8B5-4DDAA95DDAB0}" name="Koren Chumash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2782-F534-4C48-97B9-2AAF04388F5A}">
  <dimension ref="B1:G89"/>
  <sheetViews>
    <sheetView tabSelected="1" topLeftCell="A68" zoomScale="170" workbookViewId="0">
      <selection activeCell="H83" sqref="H83"/>
    </sheetView>
  </sheetViews>
  <sheetFormatPr baseColWidth="10" defaultRowHeight="16"/>
  <cols>
    <col min="1" max="1" width="2.5" customWidth="1"/>
    <col min="2" max="2" width="22" bestFit="1" customWidth="1"/>
    <col min="3" max="3" width="18.83203125" bestFit="1" customWidth="1"/>
    <col min="4" max="4" width="14.33203125" bestFit="1" customWidth="1"/>
    <col min="5" max="6" width="10" customWidth="1"/>
  </cols>
  <sheetData>
    <row r="1" spans="2:6" ht="35" customHeight="1" thickBot="1">
      <c r="B1" s="86" t="s">
        <v>0</v>
      </c>
      <c r="C1" s="87"/>
      <c r="D1" s="87"/>
      <c r="E1" s="87"/>
      <c r="F1" s="88"/>
    </row>
    <row r="2" spans="2:6" ht="8" customHeight="1" thickBot="1">
      <c r="B2" s="1"/>
      <c r="C2" s="1"/>
      <c r="D2" s="1"/>
      <c r="E2" s="1"/>
      <c r="F2" s="1"/>
    </row>
    <row r="3" spans="2:6">
      <c r="B3" s="11"/>
      <c r="C3" s="96" t="s">
        <v>1</v>
      </c>
      <c r="D3" s="96"/>
      <c r="E3" s="96" t="s">
        <v>61</v>
      </c>
      <c r="F3" s="97"/>
    </row>
    <row r="4" spans="2:6" ht="17">
      <c r="B4" s="80" t="s">
        <v>62</v>
      </c>
      <c r="C4" s="12" t="s">
        <v>2</v>
      </c>
      <c r="D4" s="12" t="s">
        <v>3</v>
      </c>
      <c r="E4" s="13" t="s">
        <v>63</v>
      </c>
      <c r="F4" s="14" t="s">
        <v>64</v>
      </c>
    </row>
    <row r="5" spans="2:6">
      <c r="B5" s="2" t="s">
        <v>4</v>
      </c>
      <c r="C5" s="35">
        <v>1</v>
      </c>
      <c r="D5" s="35">
        <v>3</v>
      </c>
      <c r="E5" s="35">
        <v>333</v>
      </c>
      <c r="F5" s="36">
        <v>655</v>
      </c>
    </row>
    <row r="6" spans="2:6">
      <c r="B6" s="2" t="s">
        <v>5</v>
      </c>
      <c r="C6" s="35">
        <v>8</v>
      </c>
      <c r="D6" s="35">
        <v>17</v>
      </c>
      <c r="E6" s="35">
        <v>334</v>
      </c>
      <c r="F6" s="36">
        <v>657</v>
      </c>
    </row>
    <row r="7" spans="2:6">
      <c r="B7" s="2" t="s">
        <v>6</v>
      </c>
      <c r="C7" s="35">
        <v>15</v>
      </c>
      <c r="D7" s="35">
        <v>31</v>
      </c>
      <c r="E7" s="35">
        <v>336</v>
      </c>
      <c r="F7" s="36">
        <v>661</v>
      </c>
    </row>
    <row r="8" spans="2:6">
      <c r="B8" s="2" t="s">
        <v>7</v>
      </c>
      <c r="C8" s="35">
        <v>22</v>
      </c>
      <c r="D8" s="35">
        <v>45</v>
      </c>
      <c r="E8" s="35">
        <v>337</v>
      </c>
      <c r="F8" s="36">
        <v>663</v>
      </c>
    </row>
    <row r="9" spans="2:6">
      <c r="B9" s="2" t="s">
        <v>8</v>
      </c>
      <c r="C9" s="35">
        <v>30</v>
      </c>
      <c r="D9" s="35">
        <v>61</v>
      </c>
      <c r="E9" s="35">
        <v>339</v>
      </c>
      <c r="F9" s="36">
        <v>667</v>
      </c>
    </row>
    <row r="10" spans="2:6">
      <c r="B10" s="2" t="s">
        <v>9</v>
      </c>
      <c r="C10" s="35">
        <v>35</v>
      </c>
      <c r="D10" s="35">
        <v>71</v>
      </c>
      <c r="E10" s="35">
        <v>341</v>
      </c>
      <c r="F10" s="36">
        <v>671</v>
      </c>
    </row>
    <row r="11" spans="2:6">
      <c r="B11" s="2" t="s">
        <v>10</v>
      </c>
      <c r="C11" s="35">
        <v>41</v>
      </c>
      <c r="D11" s="35">
        <v>83</v>
      </c>
      <c r="E11" s="35">
        <v>342</v>
      </c>
      <c r="F11" s="36">
        <v>673</v>
      </c>
    </row>
    <row r="12" spans="2:6">
      <c r="B12" s="2" t="s">
        <v>11</v>
      </c>
      <c r="C12" s="35">
        <v>48</v>
      </c>
      <c r="D12" s="35">
        <v>97</v>
      </c>
      <c r="E12" s="35">
        <v>344</v>
      </c>
      <c r="F12" s="36">
        <v>677</v>
      </c>
    </row>
    <row r="13" spans="2:6">
      <c r="B13" s="2" t="s">
        <v>12</v>
      </c>
      <c r="C13" s="35">
        <v>56</v>
      </c>
      <c r="D13" s="35">
        <v>113</v>
      </c>
      <c r="E13" s="35">
        <v>346</v>
      </c>
      <c r="F13" s="36">
        <v>681</v>
      </c>
    </row>
    <row r="14" spans="2:6">
      <c r="B14" s="2" t="s">
        <v>13</v>
      </c>
      <c r="C14" s="35">
        <v>62</v>
      </c>
      <c r="D14" s="35">
        <v>125</v>
      </c>
      <c r="E14" s="35">
        <v>347</v>
      </c>
      <c r="F14" s="36">
        <v>683</v>
      </c>
    </row>
    <row r="15" spans="2:6">
      <c r="B15" s="2" t="s">
        <v>14</v>
      </c>
      <c r="C15" s="35">
        <v>70</v>
      </c>
      <c r="D15" s="35">
        <v>141</v>
      </c>
      <c r="E15" s="35">
        <v>348</v>
      </c>
      <c r="F15" s="36">
        <v>685</v>
      </c>
    </row>
    <row r="16" spans="2:6" ht="17" thickBot="1">
      <c r="B16" s="3" t="s">
        <v>15</v>
      </c>
      <c r="C16" s="37">
        <v>75</v>
      </c>
      <c r="D16" s="37">
        <v>151</v>
      </c>
      <c r="E16" s="37">
        <v>349</v>
      </c>
      <c r="F16" s="38">
        <v>687</v>
      </c>
    </row>
    <row r="17" spans="2:7" ht="17" thickBot="1"/>
    <row r="18" spans="2:7">
      <c r="B18" s="17"/>
      <c r="C18" s="98" t="s">
        <v>1</v>
      </c>
      <c r="D18" s="98"/>
      <c r="E18" s="98" t="s">
        <v>61</v>
      </c>
      <c r="F18" s="99"/>
    </row>
    <row r="19" spans="2:7" ht="17">
      <c r="B19" s="79" t="s">
        <v>65</v>
      </c>
      <c r="C19" s="15" t="s">
        <v>2</v>
      </c>
      <c r="D19" s="15" t="s">
        <v>3</v>
      </c>
      <c r="E19" s="16" t="s">
        <v>63</v>
      </c>
      <c r="F19" s="18" t="s">
        <v>64</v>
      </c>
    </row>
    <row r="20" spans="2:7">
      <c r="B20" s="2" t="s">
        <v>16</v>
      </c>
      <c r="C20" s="35">
        <v>83</v>
      </c>
      <c r="D20" s="35">
        <v>165</v>
      </c>
      <c r="E20" s="35">
        <v>350</v>
      </c>
      <c r="F20" s="36">
        <v>689</v>
      </c>
    </row>
    <row r="21" spans="2:7">
      <c r="B21" s="2" t="s">
        <v>17</v>
      </c>
      <c r="C21" s="35">
        <v>89</v>
      </c>
      <c r="D21" s="35">
        <v>177</v>
      </c>
      <c r="E21" s="35">
        <v>352</v>
      </c>
      <c r="F21" s="36">
        <v>693</v>
      </c>
    </row>
    <row r="22" spans="2:7">
      <c r="B22" s="2" t="s">
        <v>18</v>
      </c>
      <c r="C22" s="35">
        <v>96</v>
      </c>
      <c r="D22" s="35">
        <v>191</v>
      </c>
      <c r="E22" s="35">
        <v>354</v>
      </c>
      <c r="F22" s="36">
        <v>697</v>
      </c>
    </row>
    <row r="23" spans="2:7">
      <c r="B23" s="2" t="s">
        <v>19</v>
      </c>
      <c r="C23" s="35">
        <v>103</v>
      </c>
      <c r="D23" s="35">
        <v>205</v>
      </c>
      <c r="E23" s="35">
        <v>355</v>
      </c>
      <c r="F23" s="36">
        <v>699</v>
      </c>
    </row>
    <row r="24" spans="2:7">
      <c r="B24" s="2" t="s">
        <v>74</v>
      </c>
      <c r="C24" s="35">
        <v>110</v>
      </c>
      <c r="D24" s="35">
        <v>219</v>
      </c>
      <c r="E24" s="35">
        <v>359</v>
      </c>
      <c r="F24" s="36">
        <v>707</v>
      </c>
      <c r="G24" s="53"/>
    </row>
    <row r="25" spans="2:7">
      <c r="B25" s="2" t="s">
        <v>20</v>
      </c>
      <c r="C25" s="35">
        <v>114</v>
      </c>
      <c r="D25" s="35">
        <v>227</v>
      </c>
      <c r="E25" s="35">
        <v>360</v>
      </c>
      <c r="F25" s="36">
        <v>709</v>
      </c>
    </row>
    <row r="26" spans="2:7">
      <c r="B26" s="2" t="s">
        <v>21</v>
      </c>
      <c r="C26" s="35">
        <v>120</v>
      </c>
      <c r="D26" s="35">
        <v>239</v>
      </c>
      <c r="E26" s="35">
        <v>361</v>
      </c>
      <c r="F26" s="36">
        <v>711</v>
      </c>
    </row>
    <row r="27" spans="2:7">
      <c r="B27" s="2" t="s">
        <v>22</v>
      </c>
      <c r="C27" s="35">
        <v>125</v>
      </c>
      <c r="D27" s="35">
        <v>249</v>
      </c>
      <c r="E27" s="35">
        <v>363</v>
      </c>
      <c r="F27" s="36">
        <v>715</v>
      </c>
    </row>
    <row r="28" spans="2:7">
      <c r="B28" s="2" t="s">
        <v>23</v>
      </c>
      <c r="C28" s="35">
        <v>131</v>
      </c>
      <c r="D28" s="35">
        <v>261</v>
      </c>
      <c r="E28" s="35">
        <v>364</v>
      </c>
      <c r="F28" s="36">
        <v>717</v>
      </c>
    </row>
    <row r="29" spans="2:7">
      <c r="B29" s="2" t="s">
        <v>24</v>
      </c>
      <c r="C29" s="35">
        <v>139</v>
      </c>
      <c r="D29" s="35">
        <v>277</v>
      </c>
      <c r="E29" s="35">
        <v>367</v>
      </c>
      <c r="F29" s="36">
        <v>723</v>
      </c>
    </row>
    <row r="30" spans="2:7" ht="17" thickBot="1">
      <c r="B30" s="3" t="s">
        <v>25</v>
      </c>
      <c r="C30" s="37">
        <v>145</v>
      </c>
      <c r="D30" s="37">
        <v>289</v>
      </c>
      <c r="E30" s="37">
        <v>368</v>
      </c>
      <c r="F30" s="38">
        <v>725</v>
      </c>
    </row>
    <row r="31" spans="2:7" ht="17" thickBot="1"/>
    <row r="32" spans="2:7">
      <c r="B32" s="21"/>
      <c r="C32" s="89" t="s">
        <v>1</v>
      </c>
      <c r="D32" s="89"/>
      <c r="E32" s="89" t="s">
        <v>61</v>
      </c>
      <c r="F32" s="90"/>
    </row>
    <row r="33" spans="2:6" ht="17">
      <c r="B33" s="78" t="s">
        <v>66</v>
      </c>
      <c r="C33" s="19" t="s">
        <v>2</v>
      </c>
      <c r="D33" s="19" t="s">
        <v>3</v>
      </c>
      <c r="E33" s="20" t="s">
        <v>63</v>
      </c>
      <c r="F33" s="22" t="s">
        <v>64</v>
      </c>
    </row>
    <row r="34" spans="2:6">
      <c r="B34" s="2" t="s">
        <v>26</v>
      </c>
      <c r="C34" s="35">
        <v>153</v>
      </c>
      <c r="D34" s="35">
        <v>303</v>
      </c>
      <c r="E34" s="35">
        <v>371</v>
      </c>
      <c r="F34" s="36">
        <v>731</v>
      </c>
    </row>
    <row r="35" spans="2:6">
      <c r="B35" s="2" t="s">
        <v>27</v>
      </c>
      <c r="C35" s="35">
        <v>159</v>
      </c>
      <c r="D35" s="35">
        <v>315</v>
      </c>
      <c r="E35" s="35">
        <v>372</v>
      </c>
      <c r="F35" s="36">
        <v>733</v>
      </c>
    </row>
    <row r="36" spans="2:6">
      <c r="B36" s="2" t="s">
        <v>28</v>
      </c>
      <c r="C36" s="35">
        <v>165</v>
      </c>
      <c r="D36" s="35">
        <v>327</v>
      </c>
      <c r="E36" s="35">
        <v>374</v>
      </c>
      <c r="F36" s="36">
        <v>737</v>
      </c>
    </row>
    <row r="37" spans="2:6">
      <c r="B37" s="2" t="s">
        <v>29</v>
      </c>
      <c r="C37" s="35">
        <v>170</v>
      </c>
      <c r="D37" s="35">
        <v>337</v>
      </c>
      <c r="E37" s="35">
        <v>376</v>
      </c>
      <c r="F37" s="36">
        <v>741</v>
      </c>
    </row>
    <row r="38" spans="2:6">
      <c r="B38" s="2" t="s">
        <v>30</v>
      </c>
      <c r="C38" s="35">
        <v>173</v>
      </c>
      <c r="D38" s="35">
        <v>343</v>
      </c>
      <c r="E38" s="35">
        <v>378</v>
      </c>
      <c r="F38" s="36">
        <v>745</v>
      </c>
    </row>
    <row r="39" spans="2:6">
      <c r="B39" s="2" t="s">
        <v>31</v>
      </c>
      <c r="C39" s="35">
        <v>178</v>
      </c>
      <c r="D39" s="35">
        <v>353</v>
      </c>
      <c r="E39" s="35">
        <v>379</v>
      </c>
      <c r="F39" s="36">
        <v>747</v>
      </c>
    </row>
    <row r="40" spans="2:6">
      <c r="B40" s="2" t="s">
        <v>32</v>
      </c>
      <c r="C40" s="35">
        <v>183</v>
      </c>
      <c r="D40" s="35">
        <v>363</v>
      </c>
      <c r="E40" s="35">
        <v>380</v>
      </c>
      <c r="F40" s="36">
        <v>749</v>
      </c>
    </row>
    <row r="41" spans="2:6">
      <c r="B41" s="2" t="s">
        <v>33</v>
      </c>
      <c r="C41" s="35">
        <v>186</v>
      </c>
      <c r="D41" s="35">
        <v>369</v>
      </c>
      <c r="E41" s="35">
        <v>382</v>
      </c>
      <c r="F41" s="36">
        <v>753</v>
      </c>
    </row>
    <row r="42" spans="2:6">
      <c r="B42" s="2" t="s">
        <v>34</v>
      </c>
      <c r="C42" s="35">
        <v>193</v>
      </c>
      <c r="D42" s="35">
        <v>383</v>
      </c>
      <c r="E42" s="35">
        <v>383</v>
      </c>
      <c r="F42" s="36">
        <v>755</v>
      </c>
    </row>
    <row r="43" spans="2:6" ht="17" thickBot="1">
      <c r="B43" s="3" t="s">
        <v>35</v>
      </c>
      <c r="C43" s="37">
        <v>196</v>
      </c>
      <c r="D43" s="37">
        <v>389</v>
      </c>
      <c r="E43" s="37">
        <v>385</v>
      </c>
      <c r="F43" s="38">
        <v>759</v>
      </c>
    </row>
    <row r="44" spans="2:6" ht="17" thickBot="1"/>
    <row r="45" spans="2:6">
      <c r="B45" s="25"/>
      <c r="C45" s="91" t="s">
        <v>1</v>
      </c>
      <c r="D45" s="91"/>
      <c r="E45" s="91" t="s">
        <v>61</v>
      </c>
      <c r="F45" s="92"/>
    </row>
    <row r="46" spans="2:6" ht="17">
      <c r="B46" s="77" t="s">
        <v>67</v>
      </c>
      <c r="C46" s="23" t="s">
        <v>2</v>
      </c>
      <c r="D46" s="23" t="s">
        <v>3</v>
      </c>
      <c r="E46" s="24" t="s">
        <v>63</v>
      </c>
      <c r="F46" s="26" t="s">
        <v>64</v>
      </c>
    </row>
    <row r="47" spans="2:6">
      <c r="B47" s="4" t="s">
        <v>36</v>
      </c>
      <c r="C47" s="39">
        <v>203</v>
      </c>
      <c r="D47" s="40">
        <v>401</v>
      </c>
      <c r="E47" s="39">
        <v>386</v>
      </c>
      <c r="F47" s="54">
        <v>761</v>
      </c>
    </row>
    <row r="48" spans="2:6">
      <c r="B48" s="5" t="s">
        <v>37</v>
      </c>
      <c r="C48" s="41">
        <v>210</v>
      </c>
      <c r="D48" s="42">
        <v>415</v>
      </c>
      <c r="E48" s="41">
        <v>387</v>
      </c>
      <c r="F48" s="55">
        <v>763</v>
      </c>
    </row>
    <row r="49" spans="2:7">
      <c r="B49" s="6" t="s">
        <v>38</v>
      </c>
      <c r="C49" s="43">
        <v>220</v>
      </c>
      <c r="D49" s="44">
        <v>435</v>
      </c>
      <c r="E49" s="43">
        <v>388</v>
      </c>
      <c r="F49" s="56">
        <v>765</v>
      </c>
    </row>
    <row r="50" spans="2:7">
      <c r="B50" s="5" t="s">
        <v>39</v>
      </c>
      <c r="C50" s="41">
        <v>227</v>
      </c>
      <c r="D50" s="42">
        <v>449</v>
      </c>
      <c r="E50" s="41">
        <v>390</v>
      </c>
      <c r="F50" s="55">
        <v>769</v>
      </c>
    </row>
    <row r="51" spans="2:7">
      <c r="B51" s="6" t="s">
        <v>40</v>
      </c>
      <c r="C51" s="43">
        <v>233</v>
      </c>
      <c r="D51" s="44">
        <v>461</v>
      </c>
      <c r="E51" s="43">
        <v>391</v>
      </c>
      <c r="F51" s="56">
        <v>771</v>
      </c>
    </row>
    <row r="52" spans="2:7">
      <c r="B52" s="5" t="s">
        <v>41</v>
      </c>
      <c r="C52" s="41">
        <v>239</v>
      </c>
      <c r="D52" s="42">
        <v>473</v>
      </c>
      <c r="E52" s="41">
        <v>393</v>
      </c>
      <c r="F52" s="55">
        <v>775</v>
      </c>
    </row>
    <row r="53" spans="2:7">
      <c r="B53" s="6" t="s">
        <v>42</v>
      </c>
      <c r="C53" s="43">
        <v>243</v>
      </c>
      <c r="D53" s="44">
        <v>481</v>
      </c>
      <c r="E53" s="43">
        <v>395</v>
      </c>
      <c r="F53" s="56">
        <v>779</v>
      </c>
    </row>
    <row r="54" spans="2:7">
      <c r="B54" s="5" t="s">
        <v>43</v>
      </c>
      <c r="C54" s="41">
        <v>249</v>
      </c>
      <c r="D54" s="42">
        <v>493</v>
      </c>
      <c r="E54" s="41">
        <v>396</v>
      </c>
      <c r="F54" s="55">
        <v>781</v>
      </c>
    </row>
    <row r="55" spans="2:7">
      <c r="B55" s="7" t="s">
        <v>44</v>
      </c>
      <c r="C55" s="45">
        <v>257</v>
      </c>
      <c r="D55" s="46">
        <v>509</v>
      </c>
      <c r="E55" s="45">
        <v>398</v>
      </c>
      <c r="F55" s="57">
        <v>783</v>
      </c>
    </row>
    <row r="56" spans="2:7" ht="17" thickBot="1">
      <c r="B56" s="8" t="s">
        <v>45</v>
      </c>
      <c r="C56" s="47">
        <v>263</v>
      </c>
      <c r="D56" s="48">
        <v>521</v>
      </c>
      <c r="E56" s="47">
        <v>399</v>
      </c>
      <c r="F56" s="58">
        <v>787</v>
      </c>
    </row>
    <row r="57" spans="2:7" ht="17" thickBot="1"/>
    <row r="58" spans="2:7">
      <c r="B58" s="29"/>
      <c r="C58" s="100" t="s">
        <v>1</v>
      </c>
      <c r="D58" s="100"/>
      <c r="E58" s="100" t="s">
        <v>61</v>
      </c>
      <c r="F58" s="101"/>
    </row>
    <row r="59" spans="2:7" ht="17">
      <c r="B59" s="76" t="s">
        <v>68</v>
      </c>
      <c r="C59" s="27" t="s">
        <v>2</v>
      </c>
      <c r="D59" s="27" t="s">
        <v>3</v>
      </c>
      <c r="E59" s="28" t="s">
        <v>63</v>
      </c>
      <c r="F59" s="30" t="s">
        <v>64</v>
      </c>
    </row>
    <row r="60" spans="2:7">
      <c r="B60" s="2" t="s">
        <v>46</v>
      </c>
      <c r="C60" s="35">
        <v>271</v>
      </c>
      <c r="D60" s="35">
        <v>535</v>
      </c>
      <c r="E60" s="35">
        <v>401</v>
      </c>
      <c r="F60" s="36">
        <v>791</v>
      </c>
    </row>
    <row r="61" spans="2:7">
      <c r="B61" s="2" t="s">
        <v>76</v>
      </c>
      <c r="C61" s="35">
        <v>276</v>
      </c>
      <c r="D61" s="35">
        <v>545</v>
      </c>
      <c r="E61" s="35">
        <v>402</v>
      </c>
      <c r="F61" s="36">
        <v>793</v>
      </c>
      <c r="G61" s="53"/>
    </row>
    <row r="62" spans="2:7">
      <c r="B62" s="2" t="s">
        <v>47</v>
      </c>
      <c r="C62" s="35">
        <v>284</v>
      </c>
      <c r="D62" s="35">
        <v>561</v>
      </c>
      <c r="E62" s="35">
        <v>403</v>
      </c>
      <c r="F62" s="36">
        <v>795</v>
      </c>
    </row>
    <row r="63" spans="2:7">
      <c r="B63" s="2" t="s">
        <v>48</v>
      </c>
      <c r="C63" s="35">
        <v>291</v>
      </c>
      <c r="D63" s="35">
        <v>575</v>
      </c>
      <c r="E63" s="35">
        <v>405</v>
      </c>
      <c r="F63" s="36">
        <v>799</v>
      </c>
    </row>
    <row r="64" spans="2:7">
      <c r="B64" s="2" t="s">
        <v>49</v>
      </c>
      <c r="C64" s="35">
        <v>299</v>
      </c>
      <c r="D64" s="35">
        <v>591</v>
      </c>
      <c r="E64" s="35">
        <v>406</v>
      </c>
      <c r="F64" s="36">
        <v>801</v>
      </c>
    </row>
    <row r="65" spans="2:6">
      <c r="B65" s="2" t="s">
        <v>50</v>
      </c>
      <c r="C65" s="35">
        <v>304</v>
      </c>
      <c r="D65" s="35">
        <v>601</v>
      </c>
      <c r="E65" s="35">
        <v>407</v>
      </c>
      <c r="F65" s="36">
        <v>803</v>
      </c>
    </row>
    <row r="66" spans="2:6">
      <c r="B66" s="2" t="s">
        <v>51</v>
      </c>
      <c r="C66" s="35">
        <v>311</v>
      </c>
      <c r="D66" s="35">
        <v>615</v>
      </c>
      <c r="E66" s="35">
        <v>408</v>
      </c>
      <c r="F66" s="36">
        <v>805</v>
      </c>
    </row>
    <row r="67" spans="2:6">
      <c r="B67" s="2" t="s">
        <v>52</v>
      </c>
      <c r="C67" s="35">
        <v>317</v>
      </c>
      <c r="D67" s="35">
        <v>627</v>
      </c>
      <c r="E67" s="35">
        <v>409</v>
      </c>
      <c r="F67" s="36">
        <v>807</v>
      </c>
    </row>
    <row r="68" spans="2:6">
      <c r="B68" s="2" t="s">
        <v>53</v>
      </c>
      <c r="C68" s="35">
        <v>320</v>
      </c>
      <c r="D68" s="35">
        <v>633</v>
      </c>
      <c r="E68" s="35">
        <v>410</v>
      </c>
      <c r="F68" s="36">
        <v>811</v>
      </c>
    </row>
    <row r="69" spans="2:6">
      <c r="B69" s="2" t="s">
        <v>54</v>
      </c>
      <c r="C69" s="35">
        <v>322</v>
      </c>
      <c r="D69" s="35">
        <v>637</v>
      </c>
      <c r="E69" s="35">
        <v>412</v>
      </c>
      <c r="F69" s="36">
        <v>815</v>
      </c>
    </row>
    <row r="70" spans="2:6" ht="17" thickBot="1">
      <c r="B70" s="3" t="s">
        <v>55</v>
      </c>
      <c r="C70" s="37">
        <v>325</v>
      </c>
      <c r="D70" s="37">
        <v>643</v>
      </c>
      <c r="E70" s="84" t="s">
        <v>87</v>
      </c>
      <c r="F70" s="85" t="s">
        <v>87</v>
      </c>
    </row>
    <row r="71" spans="2:6" ht="17" thickBot="1"/>
    <row r="72" spans="2:6">
      <c r="B72" s="33"/>
      <c r="C72" s="93" t="s">
        <v>69</v>
      </c>
      <c r="D72" s="93"/>
      <c r="E72" s="94" t="s">
        <v>61</v>
      </c>
      <c r="F72" s="95"/>
    </row>
    <row r="73" spans="2:6">
      <c r="B73" s="75" t="s">
        <v>86</v>
      </c>
      <c r="C73" s="31" t="s">
        <v>2</v>
      </c>
      <c r="D73" s="31" t="s">
        <v>3</v>
      </c>
      <c r="E73" s="32" t="s">
        <v>63</v>
      </c>
      <c r="F73" s="34" t="s">
        <v>64</v>
      </c>
    </row>
    <row r="74" spans="2:6">
      <c r="B74" s="10" t="s">
        <v>60</v>
      </c>
      <c r="C74" s="51">
        <v>254</v>
      </c>
      <c r="D74" s="51">
        <v>503</v>
      </c>
      <c r="E74" s="51">
        <v>415</v>
      </c>
      <c r="F74" s="52">
        <v>821</v>
      </c>
    </row>
    <row r="75" spans="2:6">
      <c r="B75" s="9" t="s">
        <v>77</v>
      </c>
      <c r="C75" s="81" t="s">
        <v>87</v>
      </c>
      <c r="D75" s="81" t="s">
        <v>87</v>
      </c>
      <c r="E75" s="49">
        <v>416</v>
      </c>
      <c r="F75" s="50">
        <v>823</v>
      </c>
    </row>
    <row r="76" spans="2:6">
      <c r="B76" s="59" t="s">
        <v>56</v>
      </c>
      <c r="C76" s="60">
        <f>C29</f>
        <v>139</v>
      </c>
      <c r="D76" s="60">
        <f>D29</f>
        <v>277</v>
      </c>
      <c r="E76" s="51">
        <v>420</v>
      </c>
      <c r="F76" s="52">
        <v>831</v>
      </c>
    </row>
    <row r="77" spans="2:6">
      <c r="B77" s="61" t="s">
        <v>57</v>
      </c>
      <c r="C77" s="62">
        <v>310</v>
      </c>
      <c r="D77" s="63">
        <v>613</v>
      </c>
      <c r="E77" s="49">
        <v>421</v>
      </c>
      <c r="F77" s="50">
        <v>835</v>
      </c>
    </row>
    <row r="78" spans="2:6">
      <c r="B78" s="59" t="s">
        <v>58</v>
      </c>
      <c r="C78" s="60">
        <f>C53</f>
        <v>243</v>
      </c>
      <c r="D78" s="60">
        <f>D53</f>
        <v>481</v>
      </c>
      <c r="E78" s="51">
        <v>424</v>
      </c>
      <c r="F78" s="52">
        <v>839</v>
      </c>
    </row>
    <row r="79" spans="2:6">
      <c r="B79" s="61" t="s">
        <v>59</v>
      </c>
      <c r="C79" s="81">
        <v>99</v>
      </c>
      <c r="D79" s="81">
        <v>197</v>
      </c>
      <c r="E79" s="49">
        <v>425</v>
      </c>
      <c r="F79" s="50">
        <v>841</v>
      </c>
    </row>
    <row r="80" spans="2:6">
      <c r="B80" s="59" t="s">
        <v>78</v>
      </c>
      <c r="C80" s="51" t="s">
        <v>87</v>
      </c>
      <c r="D80" s="51" t="s">
        <v>87</v>
      </c>
      <c r="E80" s="51">
        <v>427</v>
      </c>
      <c r="F80" s="52">
        <v>845</v>
      </c>
    </row>
    <row r="81" spans="2:6">
      <c r="B81" s="9" t="s">
        <v>70</v>
      </c>
      <c r="C81" s="49">
        <v>216</v>
      </c>
      <c r="D81" s="49">
        <v>427</v>
      </c>
      <c r="E81" s="102">
        <v>418</v>
      </c>
      <c r="F81" s="104">
        <v>827</v>
      </c>
    </row>
    <row r="82" spans="2:6">
      <c r="B82" s="10" t="s">
        <v>71</v>
      </c>
      <c r="C82" s="51">
        <v>217</v>
      </c>
      <c r="D82" s="51">
        <v>429</v>
      </c>
      <c r="E82" s="103"/>
      <c r="F82" s="105" t="s">
        <v>87</v>
      </c>
    </row>
    <row r="83" spans="2:6">
      <c r="B83" s="9" t="s">
        <v>72</v>
      </c>
      <c r="C83" s="49">
        <v>218</v>
      </c>
      <c r="D83" s="49">
        <v>431</v>
      </c>
      <c r="E83" s="49">
        <v>419</v>
      </c>
      <c r="F83" s="50">
        <v>829</v>
      </c>
    </row>
    <row r="84" spans="2:6">
      <c r="B84" s="10" t="s">
        <v>73</v>
      </c>
      <c r="C84" s="51">
        <v>328</v>
      </c>
      <c r="D84" s="51">
        <v>649</v>
      </c>
      <c r="E84" s="51" t="s">
        <v>87</v>
      </c>
      <c r="F84" s="52" t="s">
        <v>87</v>
      </c>
    </row>
    <row r="85" spans="2:6" ht="17" thickBot="1">
      <c r="B85" s="64" t="s">
        <v>75</v>
      </c>
      <c r="C85" s="65">
        <v>329</v>
      </c>
      <c r="D85" s="65">
        <v>651</v>
      </c>
      <c r="E85" s="82" t="s">
        <v>87</v>
      </c>
      <c r="F85" s="83" t="s">
        <v>87</v>
      </c>
    </row>
    <row r="86" spans="2:6">
      <c r="E86" s="35"/>
      <c r="F86" s="35"/>
    </row>
    <row r="87" spans="2:6">
      <c r="E87" s="35"/>
      <c r="F87" s="35"/>
    </row>
    <row r="88" spans="2:6">
      <c r="E88" s="35"/>
      <c r="F88" s="35"/>
    </row>
    <row r="89" spans="2:6">
      <c r="E89" s="35"/>
      <c r="F89" s="35"/>
    </row>
  </sheetData>
  <mergeCells count="15">
    <mergeCell ref="E81:E82"/>
    <mergeCell ref="F81:F82"/>
    <mergeCell ref="C72:D72"/>
    <mergeCell ref="E72:F72"/>
    <mergeCell ref="C3:D3"/>
    <mergeCell ref="E3:F3"/>
    <mergeCell ref="C18:D18"/>
    <mergeCell ref="E18:F18"/>
    <mergeCell ref="C58:D58"/>
    <mergeCell ref="E58:F58"/>
    <mergeCell ref="B1:F1"/>
    <mergeCell ref="C32:D32"/>
    <mergeCell ref="E32:F32"/>
    <mergeCell ref="C45:D45"/>
    <mergeCell ref="E45:F45"/>
  </mergeCells>
  <phoneticPr fontId="4" type="noConversion"/>
  <pageMargins left="0.7" right="0.7" top="0.75" bottom="0.75" header="0.3" footer="0.3"/>
  <pageSetup orientation="portrait" horizontalDpi="0" verticalDpi="0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214E-B797-254B-BA5A-A3AEBE7F9EA2}">
  <dimension ref="A1:C6"/>
  <sheetViews>
    <sheetView zoomScale="283" workbookViewId="0">
      <selection activeCell="C11" sqref="C11"/>
    </sheetView>
  </sheetViews>
  <sheetFormatPr baseColWidth="10" defaultRowHeight="16"/>
  <cols>
    <col min="1" max="1" width="13.83203125" bestFit="1" customWidth="1"/>
    <col min="2" max="2" width="23.33203125" bestFit="1" customWidth="1"/>
    <col min="3" max="3" width="23.6640625" bestFit="1" customWidth="1"/>
    <col min="4" max="4" width="19.33203125" bestFit="1" customWidth="1"/>
    <col min="5" max="5" width="9.5" bestFit="1" customWidth="1"/>
    <col min="6" max="6" width="9.33203125" bestFit="1" customWidth="1"/>
    <col min="7" max="7" width="8.6640625" bestFit="1" customWidth="1"/>
  </cols>
  <sheetData>
    <row r="1" spans="1:3">
      <c r="A1" s="74" t="s">
        <v>84</v>
      </c>
      <c r="B1" s="68" t="s">
        <v>85</v>
      </c>
      <c r="C1" s="69" t="s">
        <v>3</v>
      </c>
    </row>
    <row r="2" spans="1:3">
      <c r="A2" s="70" t="s">
        <v>79</v>
      </c>
      <c r="B2" s="66">
        <v>1171</v>
      </c>
      <c r="C2" s="71">
        <v>851</v>
      </c>
    </row>
    <row r="3" spans="1:3">
      <c r="A3" s="70" t="s">
        <v>80</v>
      </c>
      <c r="B3" s="66">
        <v>1181</v>
      </c>
      <c r="C3" s="71">
        <v>865</v>
      </c>
    </row>
    <row r="4" spans="1:3">
      <c r="A4" s="70" t="s">
        <v>81</v>
      </c>
      <c r="B4" s="66">
        <v>1191</v>
      </c>
      <c r="C4" s="71">
        <v>877</v>
      </c>
    </row>
    <row r="5" spans="1:3">
      <c r="A5" s="70" t="s">
        <v>82</v>
      </c>
      <c r="B5" s="66">
        <v>1203</v>
      </c>
      <c r="C5" s="71">
        <v>891</v>
      </c>
    </row>
    <row r="6" spans="1:3">
      <c r="A6" s="72" t="s">
        <v>83</v>
      </c>
      <c r="B6" s="67">
        <v>1125</v>
      </c>
      <c r="C6" s="73">
        <v>917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Korman</dc:creator>
  <cp:lastModifiedBy>Joseph Korman</cp:lastModifiedBy>
  <cp:lastPrinted>2025-02-28T15:14:24Z</cp:lastPrinted>
  <dcterms:created xsi:type="dcterms:W3CDTF">2025-02-24T15:38:55Z</dcterms:created>
  <dcterms:modified xsi:type="dcterms:W3CDTF">2025-03-02T17:23:52Z</dcterms:modified>
</cp:coreProperties>
</file>