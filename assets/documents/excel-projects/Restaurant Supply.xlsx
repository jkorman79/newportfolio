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3/Turn in/"/>
    </mc:Choice>
  </mc:AlternateContent>
  <xr:revisionPtr revIDLastSave="0" documentId="13_ncr:1_{E77701F0-26CD-5A4F-AAAB-DA2DEC93E27C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Inventory" sheetId="2" r:id="rId1"/>
    <sheet name="Order Database" sheetId="1" r:id="rId2"/>
  </sheets>
  <definedNames>
    <definedName name="_xlnm.Database">'Order Database'!$A$2:$G$13</definedName>
    <definedName name="_xlnm.Print_Area" localSheetId="1">'Order Database'!$I$38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<sst xmlns="http://schemas.openxmlformats.org/spreadsheetml/2006/main" count="52" uniqueCount="36">
  <si>
    <t>Order Date</t>
  </si>
  <si>
    <t>Description</t>
  </si>
  <si>
    <t>Price</t>
  </si>
  <si>
    <t>Amount</t>
  </si>
  <si>
    <t>FD13</t>
  </si>
  <si>
    <t>DF13</t>
  </si>
  <si>
    <t>SD45</t>
  </si>
  <si>
    <t>QW23</t>
  </si>
  <si>
    <t>UT67</t>
  </si>
  <si>
    <t>QG56</t>
  </si>
  <si>
    <t>DE34</t>
  </si>
  <si>
    <t>AD34</t>
  </si>
  <si>
    <t>AG19</t>
  </si>
  <si>
    <t>WR45</t>
  </si>
  <si>
    <t>QH78</t>
  </si>
  <si>
    <t>Tablecloths, White</t>
  </si>
  <si>
    <t>Tablecloths, Dk Blue</t>
  </si>
  <si>
    <t>Soup Vat, 20 gallon</t>
  </si>
  <si>
    <t>Dessert Display, 3 tier</t>
  </si>
  <si>
    <t>Broiler Pans, Large</t>
  </si>
  <si>
    <t>Dish Tubs, Gray</t>
  </si>
  <si>
    <t>Salt &amp; Pepper Sets</t>
  </si>
  <si>
    <t>Counter Rags, 12 ct</t>
  </si>
  <si>
    <t>Qty</t>
  </si>
  <si>
    <t>Soap, 10 gallon</t>
  </si>
  <si>
    <t>Wilson Wholesale Restaurant Supply</t>
  </si>
  <si>
    <t>Napkins, Dk Blue 6 ct</t>
  </si>
  <si>
    <t>Alum. Bake &amp; Take  20 ct</t>
  </si>
  <si>
    <t>Part Num</t>
  </si>
  <si>
    <t>Order Num</t>
  </si>
  <si>
    <t>Grand Total</t>
  </si>
  <si>
    <t>Sum of Amount</t>
  </si>
  <si>
    <t>1/25/2021 Total</t>
  </si>
  <si>
    <t>1/26/2021 Total</t>
  </si>
  <si>
    <t>1/27/2021 Total</t>
  </si>
  <si>
    <t>1/28/2021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</si>
</sst>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20"/>
      <name val="Arial"/>
      <family val="2"/>
    </font>
    <font>
      <b/>
      <sz val="10"/>
      <color indexed="20"/>
      <name val="Arial"/>
      <family val="2"/>
    </font>
    <font>
      <b/>
      <sz val="10"/>
      <color indexed="10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24"/>
      <color theme="0"/>
      <name val="Arial"/>
      <family val="2"/>
    </font>
    <font>
      <sz val="2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9" tint="-0.24997711111789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43" fontId="4" fillId="0" borderId="0" xfId="1" applyFont="1" applyFill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left"/>
    </xf>
    <xf numFmtId="43" fontId="4" fillId="0" borderId="0" xfId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43" fontId="1" fillId="0" borderId="0" xfId="1" applyFont="1" applyFill="1" applyAlignment="1">
      <alignment horizontal="right"/>
    </xf>
    <xf numFmtId="43" fontId="1" fillId="0" borderId="0" xfId="1" applyFont="1" applyFill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43" fontId="7" fillId="0" borderId="1" xfId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/>
    <xf numFmtId="43" fontId="7" fillId="0" borderId="0" xfId="1" applyFont="1" applyFill="1"/>
    <xf numFmtId="0" fontId="7" fillId="0" borderId="0" xfId="0" applyFont="1" applyAlignment="1">
      <alignment horizontal="right"/>
    </xf>
    <xf numFmtId="43" fontId="7" fillId="0" borderId="0" xfId="1" applyFont="1" applyFill="1" applyAlignment="1">
      <alignment horizontal="right"/>
    </xf>
    <xf numFmtId="0" fontId="0" fillId="0" borderId="0" xfId="0" pivotButton="1"/>
    <xf numFmtId="164" fontId="0" fillId="0" borderId="0" xfId="0" applyNumberFormat="1"/>
    <xf numFmtId="14" fontId="0" fillId="0" borderId="0" xfId="0" applyNumberFormat="1"/>
    <xf numFmtId="0" fontId="9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9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[SC_EX_8-2.xlsx]Inventory!PivotTable1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Inventory!$C$5:$C$6</c:f>
              <c:strCache>
                <c:ptCount val="1"/>
                <c:pt idx="0">
                  <c:v>59123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Inventory!$A$7:$B$22</c:f>
              <c:multiLvlStrCache>
                <c:ptCount val="11"/>
                <c:lvl>
                  <c:pt idx="0">
                    <c:v>FD13</c:v>
                  </c:pt>
                  <c:pt idx="1">
                    <c:v>QH78</c:v>
                  </c:pt>
                  <c:pt idx="2">
                    <c:v>SD45</c:v>
                  </c:pt>
                  <c:pt idx="3">
                    <c:v>DF13</c:v>
                  </c:pt>
                  <c:pt idx="4">
                    <c:v>QW23</c:v>
                  </c:pt>
                  <c:pt idx="5">
                    <c:v>UT67</c:v>
                  </c:pt>
                  <c:pt idx="6">
                    <c:v>AD34</c:v>
                  </c:pt>
                  <c:pt idx="7">
                    <c:v>QG56</c:v>
                  </c:pt>
                  <c:pt idx="8">
                    <c:v>AG19</c:v>
                  </c:pt>
                  <c:pt idx="9">
                    <c:v>DE34</c:v>
                  </c:pt>
                  <c:pt idx="10">
                    <c:v>WR45</c:v>
                  </c:pt>
                </c:lvl>
                <c:lvl>
                  <c:pt idx="0">
                    <c:v>1/25/21</c:v>
                  </c:pt>
                  <c:pt idx="3">
                    <c:v>1/26/21</c:v>
                  </c:pt>
                  <c:pt idx="6">
                    <c:v>1/27/21</c:v>
                  </c:pt>
                  <c:pt idx="8">
                    <c:v>1/28/21</c:v>
                  </c:pt>
                </c:lvl>
              </c:multiLvlStrCache>
            </c:multiLvlStrRef>
          </c:cat>
          <c:val>
            <c:numRef>
              <c:f>Inventory!$C$7:$C$22</c:f>
              <c:numCache>
                <c:formatCode>General</c:formatCode>
                <c:ptCount val="11"/>
                <c:pt idx="0">
                  <c:v>406.25</c:v>
                </c:pt>
                <c:pt idx="1">
                  <c:v>204.6</c:v>
                </c:pt>
                <c:pt idx="2">
                  <c:v>184.25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8-4484-A978-7561F479E574}"/>
            </c:ext>
          </c:extLst>
        </c:ser>
        <c:ser>
          <c:idx val="1"/>
          <c:order val="1"/>
          <c:tx>
            <c:strRef>
              <c:f>Inventory!$D$5:$D$6</c:f>
              <c:strCache>
                <c:ptCount val="1"/>
                <c:pt idx="0">
                  <c:v>59254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Inventory!$A$7:$B$22</c:f>
              <c:multiLvlStrCache>
                <c:ptCount val="11"/>
                <c:lvl>
                  <c:pt idx="0">
                    <c:v>FD13</c:v>
                  </c:pt>
                  <c:pt idx="1">
                    <c:v>QH78</c:v>
                  </c:pt>
                  <c:pt idx="2">
                    <c:v>SD45</c:v>
                  </c:pt>
                  <c:pt idx="3">
                    <c:v>DF13</c:v>
                  </c:pt>
                  <c:pt idx="4">
                    <c:v>QW23</c:v>
                  </c:pt>
                  <c:pt idx="5">
                    <c:v>UT67</c:v>
                  </c:pt>
                  <c:pt idx="6">
                    <c:v>AD34</c:v>
                  </c:pt>
                  <c:pt idx="7">
                    <c:v>QG56</c:v>
                  </c:pt>
                  <c:pt idx="8">
                    <c:v>AG19</c:v>
                  </c:pt>
                  <c:pt idx="9">
                    <c:v>DE34</c:v>
                  </c:pt>
                  <c:pt idx="10">
                    <c:v>WR45</c:v>
                  </c:pt>
                </c:lvl>
                <c:lvl>
                  <c:pt idx="0">
                    <c:v>1/25/21</c:v>
                  </c:pt>
                  <c:pt idx="3">
                    <c:v>1/26/21</c:v>
                  </c:pt>
                  <c:pt idx="6">
                    <c:v>1/27/21</c:v>
                  </c:pt>
                  <c:pt idx="8">
                    <c:v>1/28/21</c:v>
                  </c:pt>
                </c:lvl>
              </c:multiLvlStrCache>
            </c:multiLvlStrRef>
          </c:cat>
          <c:val>
            <c:numRef>
              <c:f>Inventory!$D$7:$D$22</c:f>
              <c:numCache>
                <c:formatCode>General</c:formatCode>
                <c:ptCount val="11"/>
                <c:pt idx="3">
                  <c:v>804</c:v>
                </c:pt>
                <c:pt idx="6">
                  <c:v>799.5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8-4484-A978-7561F479E574}"/>
            </c:ext>
          </c:extLst>
        </c:ser>
        <c:ser>
          <c:idx val="2"/>
          <c:order val="2"/>
          <c:tx>
            <c:strRef>
              <c:f>Inventory!$E$5:$E$6</c:f>
              <c:strCache>
                <c:ptCount val="1"/>
                <c:pt idx="0">
                  <c:v>59298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Inventory!$A$7:$B$22</c:f>
              <c:multiLvlStrCache>
                <c:ptCount val="11"/>
                <c:lvl>
                  <c:pt idx="0">
                    <c:v>FD13</c:v>
                  </c:pt>
                  <c:pt idx="1">
                    <c:v>QH78</c:v>
                  </c:pt>
                  <c:pt idx="2">
                    <c:v>SD45</c:v>
                  </c:pt>
                  <c:pt idx="3">
                    <c:v>DF13</c:v>
                  </c:pt>
                  <c:pt idx="4">
                    <c:v>QW23</c:v>
                  </c:pt>
                  <c:pt idx="5">
                    <c:v>UT67</c:v>
                  </c:pt>
                  <c:pt idx="6">
                    <c:v>AD34</c:v>
                  </c:pt>
                  <c:pt idx="7">
                    <c:v>QG56</c:v>
                  </c:pt>
                  <c:pt idx="8">
                    <c:v>AG19</c:v>
                  </c:pt>
                  <c:pt idx="9">
                    <c:v>DE34</c:v>
                  </c:pt>
                  <c:pt idx="10">
                    <c:v>WR45</c:v>
                  </c:pt>
                </c:lvl>
                <c:lvl>
                  <c:pt idx="0">
                    <c:v>1/25/21</c:v>
                  </c:pt>
                  <c:pt idx="3">
                    <c:v>1/26/21</c:v>
                  </c:pt>
                  <c:pt idx="6">
                    <c:v>1/27/21</c:v>
                  </c:pt>
                  <c:pt idx="8">
                    <c:v>1/28/21</c:v>
                  </c:pt>
                </c:lvl>
              </c:multiLvlStrCache>
            </c:multiLvlStrRef>
          </c:cat>
          <c:val>
            <c:numRef>
              <c:f>Inventory!$E$7:$E$22</c:f>
              <c:numCache>
                <c:formatCode>General</c:formatCode>
                <c:ptCount val="11"/>
                <c:pt idx="8">
                  <c:v>1935</c:v>
                </c:pt>
                <c:pt idx="9">
                  <c:v>1410</c:v>
                </c:pt>
                <c:pt idx="10">
                  <c:v>802.74999999999989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8-4484-A978-7561F479E574}"/>
            </c:ext>
          </c:extLst>
        </c:ser>
        <c:ser>
          <c:idx val="3"/>
          <c:order val="3"/>
          <c:tx>
            <c:strRef>
              <c:f>Inventory!$F$5:$F$6</c:f>
              <c:strCache>
                <c:ptCount val="1"/>
                <c:pt idx="0">
                  <c:v>59301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Inventory!$A$7:$B$22</c:f>
              <c:multiLvlStrCache>
                <c:ptCount val="11"/>
                <c:lvl>
                  <c:pt idx="0">
                    <c:v>FD13</c:v>
                  </c:pt>
                  <c:pt idx="1">
                    <c:v>QH78</c:v>
                  </c:pt>
                  <c:pt idx="2">
                    <c:v>SD45</c:v>
                  </c:pt>
                  <c:pt idx="3">
                    <c:v>DF13</c:v>
                  </c:pt>
                  <c:pt idx="4">
                    <c:v>QW23</c:v>
                  </c:pt>
                  <c:pt idx="5">
                    <c:v>UT67</c:v>
                  </c:pt>
                  <c:pt idx="6">
                    <c:v>AD34</c:v>
                  </c:pt>
                  <c:pt idx="7">
                    <c:v>QG56</c:v>
                  </c:pt>
                  <c:pt idx="8">
                    <c:v>AG19</c:v>
                  </c:pt>
                  <c:pt idx="9">
                    <c:v>DE34</c:v>
                  </c:pt>
                  <c:pt idx="10">
                    <c:v>WR45</c:v>
                  </c:pt>
                </c:lvl>
                <c:lvl>
                  <c:pt idx="0">
                    <c:v>1/25/21</c:v>
                  </c:pt>
                  <c:pt idx="3">
                    <c:v>1/26/21</c:v>
                  </c:pt>
                  <c:pt idx="6">
                    <c:v>1/27/21</c:v>
                  </c:pt>
                  <c:pt idx="8">
                    <c:v>1/28/21</c:v>
                  </c:pt>
                </c:lvl>
              </c:multiLvlStrCache>
            </c:multiLvlStrRef>
          </c:cat>
          <c:val>
            <c:numRef>
              <c:f>Inventory!$F$7:$F$22</c:f>
              <c:numCache>
                <c:formatCode>General</c:formatCode>
                <c:ptCount val="11"/>
                <c:pt idx="4">
                  <c:v>1706.25</c:v>
                </c:pt>
                <c:pt idx="5">
                  <c:v>4925</c:v>
                </c:pt>
                <c:pt idx="7">
                  <c:v>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8-4484-A978-7561F479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232992"/>
        <c:axId val="206313680"/>
        <c:axId val="0"/>
      </c:bar3DChart>
      <c:catAx>
        <c:axId val="1702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3680"/>
        <c:crosses val="autoZero"/>
        <c:auto val="1"/>
        <c:lblAlgn val="ctr"/>
        <c:lblOffset val="100"/>
        <c:noMultiLvlLbl val="0"/>
      </c:catAx>
      <c:valAx>
        <c:axId val="2063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299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</xdr:row>
      <xdr:rowOff>4762</xdr:rowOff>
    </xdr:from>
    <xdr:to>
      <xdr:col>14</xdr:col>
      <xdr:colOff>323850</xdr:colOff>
      <xdr:row>20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86A81-6D59-6E19-6DD1-B2F788AF1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Korman" refreshedDate="45737.433251736111" createdVersion="8" refreshedVersion="8" minRefreshableVersion="3" recordCount="11" xr:uid="{62304390-596D-479B-A0D3-5E5369BC8150}">
  <cacheSource type="worksheet">
    <worksheetSource ref="A2:G13" sheet="Order Database"/>
  </cacheSource>
  <cacheFields count="7">
    <cacheField name="Order Num" numFmtId="0">
      <sharedItems containsSemiMixedTypes="0" containsString="0" containsNumber="1" containsInteger="1" minValue="59123" maxValue="59301" count="4">
        <n v="59123"/>
        <n v="59254"/>
        <n v="59298"/>
        <n v="59301"/>
      </sharedItems>
    </cacheField>
    <cacheField name="Order Date" numFmtId="14">
      <sharedItems containsSemiMixedTypes="0" containsNonDate="0" containsDate="1" containsString="0" minDate="2021-01-25T00:00:00" maxDate="2021-01-29T00:00:00" count="4">
        <d v="2021-01-25T00:00:00"/>
        <d v="2021-01-26T00:00:00"/>
        <d v="2021-01-27T00:00:00"/>
        <d v="2021-01-28T00:00:00"/>
      </sharedItems>
    </cacheField>
    <cacheField name="Part Num" numFmtId="0">
      <sharedItems count="11">
        <s v="FD13"/>
        <s v="QH78"/>
        <s v="SD45"/>
        <s v="DF13"/>
        <s v="AD34"/>
        <s v="DE34"/>
        <s v="WR45"/>
        <s v="AG19"/>
        <s v="QW23"/>
        <s v="UT67"/>
        <s v="QG56"/>
      </sharedItems>
    </cacheField>
    <cacheField name="Description" numFmtId="0">
      <sharedItems count="11">
        <s v="Napkins, Dk Blue 6 ct"/>
        <s v="Salt &amp; Pepper Sets"/>
        <s v="Tablecloths, Dk Blue"/>
        <s v="Tablecloths, White"/>
        <s v="Broiler Pans, Large"/>
        <s v="Counter Rags, 12 ct"/>
        <s v="Dish Tubs, Gray"/>
        <s v="Soap, 10 gallon"/>
        <s v="Alum. Bake &amp; Take  20 ct"/>
        <s v="Soup Vat, 20 gallon"/>
        <s v="Dessert Display, 3 tier"/>
      </sharedItems>
    </cacheField>
    <cacheField name="Qty" numFmtId="0">
      <sharedItems containsSemiMixedTypes="0" containsString="0" containsNumber="1" containsInteger="1" minValue="2" maxValue="564"/>
    </cacheField>
    <cacheField name="Price" numFmtId="43">
      <sharedItems containsSemiMixedTypes="0" containsString="0" containsNumber="1" minValue="2.5" maxValue="985"/>
    </cacheField>
    <cacheField name="Amount" numFmtId="43">
      <sharedItems containsSemiMixedTypes="0" containsString="0" containsNumber="1" minValue="184.25" maxValue="4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  <n v="125"/>
    <n v="3.25"/>
    <n v="406.25"/>
  </r>
  <r>
    <x v="0"/>
    <x v="0"/>
    <x v="1"/>
    <x v="1"/>
    <n v="62"/>
    <n v="3.3"/>
    <n v="204.6"/>
  </r>
  <r>
    <x v="0"/>
    <x v="0"/>
    <x v="2"/>
    <x v="2"/>
    <n v="55"/>
    <n v="3.35"/>
    <n v="184.25"/>
  </r>
  <r>
    <x v="1"/>
    <x v="1"/>
    <x v="3"/>
    <x v="3"/>
    <n v="300"/>
    <n v="2.68"/>
    <n v="804"/>
  </r>
  <r>
    <x v="1"/>
    <x v="2"/>
    <x v="4"/>
    <x v="4"/>
    <n v="78"/>
    <n v="10.25"/>
    <n v="799.5"/>
  </r>
  <r>
    <x v="2"/>
    <x v="3"/>
    <x v="5"/>
    <x v="5"/>
    <n v="564"/>
    <n v="2.5"/>
    <n v="1410"/>
  </r>
  <r>
    <x v="2"/>
    <x v="3"/>
    <x v="6"/>
    <x v="6"/>
    <n v="95"/>
    <n v="8.4499999999999993"/>
    <n v="802.74999999999989"/>
  </r>
  <r>
    <x v="2"/>
    <x v="3"/>
    <x v="7"/>
    <x v="7"/>
    <n v="225"/>
    <n v="8.6"/>
    <n v="1935"/>
  </r>
  <r>
    <x v="3"/>
    <x v="1"/>
    <x v="8"/>
    <x v="8"/>
    <n v="325"/>
    <n v="5.25"/>
    <n v="1706.25"/>
  </r>
  <r>
    <x v="3"/>
    <x v="1"/>
    <x v="9"/>
    <x v="9"/>
    <n v="5"/>
    <n v="985"/>
    <n v="4925"/>
  </r>
  <r>
    <x v="3"/>
    <x v="2"/>
    <x v="10"/>
    <x v="10"/>
    <n v="2"/>
    <n v="520"/>
    <n v="10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A3AD4-8DC1-4BC9-A052-B9310D43A6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5:G22" firstHeaderRow="1" firstDataRow="2" firstDataCol="2"/>
  <pivotFields count="7">
    <pivotField axis="axisCol" compact="0" outline="0" showAll="0" sortType="ascending">
      <items count="5">
        <item x="0"/>
        <item x="1"/>
        <item x="2"/>
        <item x="3"/>
        <item t="default"/>
      </items>
    </pivotField>
    <pivotField axis="axisRow" compact="0" numFmtId="14" outline="0" multipleItemSelectionAllowed="1" showAll="0">
      <items count="5">
        <item x="0"/>
        <item x="1"/>
        <item x="2"/>
        <item x="3"/>
        <item t="default"/>
      </items>
    </pivotField>
    <pivotField axis="axisRow" compact="0" outline="0" showAll="0">
      <items count="12">
        <item x="4"/>
        <item x="7"/>
        <item x="5"/>
        <item x="3"/>
        <item x="0"/>
        <item x="10"/>
        <item x="1"/>
        <item x="8"/>
        <item x="2"/>
        <item x="9"/>
        <item x="6"/>
        <item t="default"/>
      </items>
    </pivotField>
    <pivotField compact="0" outline="0" showAll="0">
      <items count="12">
        <item x="8"/>
        <item x="4"/>
        <item x="5"/>
        <item x="10"/>
        <item x="6"/>
        <item x="0"/>
        <item x="1"/>
        <item x="7"/>
        <item x="9"/>
        <item x="2"/>
        <item x="3"/>
        <item t="default"/>
      </items>
    </pivotField>
    <pivotField compact="0" outline="0" showAll="0"/>
    <pivotField compact="0" numFmtId="43" outline="0" showAll="0"/>
    <pivotField dataField="1" compact="0" numFmtId="43" outline="0" showAll="0"/>
  </pivotFields>
  <rowFields count="2">
    <field x="1"/>
    <field x="2"/>
  </rowFields>
  <rowItems count="16">
    <i>
      <x/>
      <x v="4"/>
    </i>
    <i r="1">
      <x v="6"/>
    </i>
    <i r="1">
      <x v="8"/>
    </i>
    <i t="default">
      <x/>
    </i>
    <i>
      <x v="1"/>
      <x v="3"/>
    </i>
    <i r="1">
      <x v="7"/>
    </i>
    <i r="1">
      <x v="9"/>
    </i>
    <i t="default">
      <x v="1"/>
    </i>
    <i>
      <x v="2"/>
      <x/>
    </i>
    <i r="1">
      <x v="5"/>
    </i>
    <i t="default">
      <x v="2"/>
    </i>
    <i>
      <x v="3"/>
      <x v="1"/>
    </i>
    <i r="1">
      <x v="2"/>
    </i>
    <i r="1">
      <x v="10"/>
    </i>
    <i t="default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6" baseField="0" baseItem="0"/>
  </dataFields>
  <formats count="9">
    <format dxfId="8">
      <pivotArea grandRow="1" outline="0" collapsedLevelsAreSubtotals="1" fieldPosition="0"/>
    </format>
    <format dxfId="7">
      <pivotArea field="1" grandCol="1" outline="0" axis="axisRow" fieldPosition="0">
        <references count="1">
          <reference field="1" count="0" selected="0" defaultSubtotal="1"/>
        </references>
      </pivotArea>
    </format>
    <format dxfId="6">
      <pivotArea outline="0" fieldPosition="0">
        <references count="2">
          <reference field="0" count="1" selected="0">
            <x v="0"/>
          </reference>
          <reference field="1" count="1" selected="0" defaultSubtotal="1">
            <x v="0"/>
          </reference>
        </references>
      </pivotArea>
    </format>
    <format dxfId="5">
      <pivotArea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format>
    <format dxfId="4">
      <pivotArea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2" selected="0">
            <x v="7"/>
            <x v="9"/>
          </reference>
        </references>
      </pivotArea>
    </format>
    <format dxfId="3">
      <pivotArea outline="0" fieldPosition="0">
        <references count="2">
          <reference field="0" count="1" selected="0">
            <x v="1"/>
          </reference>
          <reference field="1" count="1" selected="0" defaultSubtotal="1">
            <x v="1"/>
          </reference>
        </references>
      </pivotArea>
    </format>
    <format dxfId="2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5"/>
          </reference>
        </references>
      </pivotArea>
    </format>
    <format dxfId="1">
      <pivotArea outline="0" fieldPosition="0">
        <references count="2">
          <reference field="0" count="1" selected="0">
            <x v="1"/>
          </reference>
          <reference field="1" count="1" selected="0" defaultSubtotal="1">
            <x v="2"/>
          </reference>
        </references>
      </pivotArea>
    </format>
    <format dxfId="0">
      <pivotArea outline="0" fieldPosition="0">
        <references count="2">
          <reference field="0" count="1" selected="0">
            <x v="2"/>
          </reference>
          <reference field="1" count="1" selected="0" defaultSubtotal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5D1D-1F6E-4EFC-B261-C860499E03CF}">
  <sheetPr>
    <tabColor theme="4"/>
  </sheetPr>
  <dimension ref="A1:N22"/>
  <sheetViews>
    <sheetView tabSelected="1" zoomScale="150" workbookViewId="0">
      <selection activeCell="B9" sqref="B9"/>
    </sheetView>
  </sheetViews>
  <sheetFormatPr baseColWidth="10" defaultColWidth="8.83203125" defaultRowHeight="13" x14ac:dyDescent="0.15"/>
  <cols>
    <col min="1" max="1" width="15.1640625" bestFit="1" customWidth="1"/>
    <col min="2" max="2" width="11.1640625" bestFit="1" customWidth="1"/>
    <col min="3" max="6" width="12.33203125" bestFit="1" customWidth="1"/>
    <col min="7" max="7" width="10.5" bestFit="1" customWidth="1"/>
  </cols>
  <sheetData>
    <row r="1" spans="1:14" ht="25" x14ac:dyDescent="0.25">
      <c r="A1" s="29" t="s">
        <v>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5" spans="1:14" x14ac:dyDescent="0.15">
      <c r="A5" s="26" t="s">
        <v>31</v>
      </c>
      <c r="C5" s="26" t="s">
        <v>29</v>
      </c>
    </row>
    <row r="6" spans="1:14" x14ac:dyDescent="0.15">
      <c r="A6" s="26" t="s">
        <v>0</v>
      </c>
      <c r="B6" s="26" t="s">
        <v>28</v>
      </c>
      <c r="C6">
        <v>59123</v>
      </c>
      <c r="D6">
        <v>59254</v>
      </c>
      <c r="E6">
        <v>59298</v>
      </c>
      <c r="F6">
        <v>59301</v>
      </c>
      <c r="G6" t="s">
        <v>30</v>
      </c>
    </row>
    <row r="7" spans="1:14" x14ac:dyDescent="0.15">
      <c r="A7" s="28">
        <v>44221</v>
      </c>
      <c r="B7" t="s">
        <v>4</v>
      </c>
      <c r="C7" s="27">
        <v>406.25</v>
      </c>
      <c r="G7" s="27">
        <v>406.25</v>
      </c>
    </row>
    <row r="8" spans="1:14" x14ac:dyDescent="0.15">
      <c r="B8" t="s">
        <v>14</v>
      </c>
      <c r="C8" s="27">
        <v>204.6</v>
      </c>
      <c r="G8" s="27">
        <v>204.6</v>
      </c>
    </row>
    <row r="9" spans="1:14" x14ac:dyDescent="0.15">
      <c r="B9" t="s">
        <v>6</v>
      </c>
      <c r="C9" s="27">
        <v>184.25</v>
      </c>
      <c r="G9" s="27">
        <v>184.25</v>
      </c>
    </row>
    <row r="10" spans="1:14" x14ac:dyDescent="0.15">
      <c r="A10" s="28" t="s">
        <v>32</v>
      </c>
      <c r="C10" s="27">
        <v>795.1</v>
      </c>
      <c r="G10" s="27">
        <v>795.1</v>
      </c>
    </row>
    <row r="11" spans="1:14" x14ac:dyDescent="0.15">
      <c r="A11" s="28">
        <v>44222</v>
      </c>
      <c r="B11" t="s">
        <v>5</v>
      </c>
      <c r="D11" s="27">
        <v>804</v>
      </c>
      <c r="G11" s="27">
        <v>804</v>
      </c>
    </row>
    <row r="12" spans="1:14" x14ac:dyDescent="0.15">
      <c r="B12" t="s">
        <v>7</v>
      </c>
      <c r="F12" s="27">
        <v>1706.25</v>
      </c>
      <c r="G12" s="27">
        <v>1706.25</v>
      </c>
    </row>
    <row r="13" spans="1:14" x14ac:dyDescent="0.15">
      <c r="B13" t="s">
        <v>8</v>
      </c>
      <c r="F13" s="27">
        <v>4925</v>
      </c>
      <c r="G13" s="27">
        <v>4925</v>
      </c>
    </row>
    <row r="14" spans="1:14" x14ac:dyDescent="0.15">
      <c r="A14" s="28" t="s">
        <v>33</v>
      </c>
      <c r="D14" s="27">
        <v>804</v>
      </c>
      <c r="F14">
        <v>6631.25</v>
      </c>
      <c r="G14" s="27">
        <v>7435.25</v>
      </c>
    </row>
    <row r="15" spans="1:14" x14ac:dyDescent="0.15">
      <c r="A15" s="28">
        <v>44223</v>
      </c>
      <c r="B15" t="s">
        <v>11</v>
      </c>
      <c r="D15">
        <v>799.5</v>
      </c>
      <c r="G15" s="27">
        <v>799.5</v>
      </c>
    </row>
    <row r="16" spans="1:14" x14ac:dyDescent="0.15">
      <c r="B16" t="s">
        <v>9</v>
      </c>
      <c r="F16" s="27">
        <v>1040</v>
      </c>
      <c r="G16" s="27">
        <v>1040</v>
      </c>
    </row>
    <row r="17" spans="1:7" x14ac:dyDescent="0.15">
      <c r="A17" s="28" t="s">
        <v>34</v>
      </c>
      <c r="D17" s="27">
        <v>799.5</v>
      </c>
      <c r="F17">
        <v>1040</v>
      </c>
      <c r="G17" s="27">
        <v>1839.5</v>
      </c>
    </row>
    <row r="18" spans="1:7" x14ac:dyDescent="0.15">
      <c r="A18" s="28">
        <v>44224</v>
      </c>
      <c r="B18" t="s">
        <v>12</v>
      </c>
      <c r="E18" s="27">
        <v>1935</v>
      </c>
      <c r="G18" s="27">
        <v>1935</v>
      </c>
    </row>
    <row r="19" spans="1:7" x14ac:dyDescent="0.15">
      <c r="B19" t="s">
        <v>10</v>
      </c>
      <c r="E19" s="27">
        <v>1410</v>
      </c>
      <c r="G19" s="27">
        <v>1410</v>
      </c>
    </row>
    <row r="20" spans="1:7" x14ac:dyDescent="0.15">
      <c r="B20" t="s">
        <v>13</v>
      </c>
      <c r="E20" s="27">
        <v>802.74999999999989</v>
      </c>
      <c r="G20" s="27">
        <v>802.74999999999989</v>
      </c>
    </row>
    <row r="21" spans="1:7" x14ac:dyDescent="0.15">
      <c r="A21" s="28" t="s">
        <v>35</v>
      </c>
      <c r="E21" s="27">
        <v>4147.75</v>
      </c>
      <c r="G21" s="27">
        <v>4147.75</v>
      </c>
    </row>
    <row r="22" spans="1:7" x14ac:dyDescent="0.15">
      <c r="A22" s="28" t="s">
        <v>30</v>
      </c>
      <c r="C22" s="27">
        <v>795.1</v>
      </c>
      <c r="D22" s="27">
        <v>1603.5</v>
      </c>
      <c r="E22" s="27">
        <v>4147.75</v>
      </c>
      <c r="F22" s="27">
        <v>7671.25</v>
      </c>
      <c r="G22" s="27">
        <v>14217.6</v>
      </c>
    </row>
  </sheetData>
  <mergeCells count="1">
    <mergeCell ref="A1:N1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="80" zoomScaleNormal="80" workbookViewId="0">
      <selection activeCell="A3" sqref="A3"/>
    </sheetView>
  </sheetViews>
  <sheetFormatPr baseColWidth="10" defaultColWidth="9.1640625" defaultRowHeight="13" x14ac:dyDescent="0.15"/>
  <cols>
    <col min="1" max="1" width="15.5" style="9" customWidth="1"/>
    <col min="2" max="2" width="14.83203125" style="14" bestFit="1" customWidth="1"/>
    <col min="3" max="3" width="13" style="6" customWidth="1"/>
    <col min="4" max="4" width="32.6640625" style="6" bestFit="1" customWidth="1"/>
    <col min="5" max="5" width="8.5" style="11" customWidth="1"/>
    <col min="6" max="6" width="13.6640625" style="12" customWidth="1"/>
    <col min="7" max="7" width="15.83203125" style="12" customWidth="1"/>
    <col min="8" max="8" width="9.1640625" style="6"/>
    <col min="9" max="10" width="11.6640625" style="6" customWidth="1"/>
    <col min="11" max="16384" width="9.1640625" style="6"/>
  </cols>
  <sheetData>
    <row r="1" spans="1:10" ht="44.25" customHeight="1" x14ac:dyDescent="0.3">
      <c r="A1" s="30" t="s">
        <v>25</v>
      </c>
      <c r="B1" s="30"/>
      <c r="C1" s="30"/>
      <c r="D1" s="30"/>
      <c r="E1" s="30"/>
      <c r="F1" s="30"/>
      <c r="G1" s="30"/>
    </row>
    <row r="2" spans="1:10" ht="20" customHeight="1" thickBot="1" x14ac:dyDescent="0.25">
      <c r="A2" s="17" t="s">
        <v>29</v>
      </c>
      <c r="B2" s="17" t="s">
        <v>0</v>
      </c>
      <c r="C2" s="17" t="s">
        <v>28</v>
      </c>
      <c r="D2" s="17" t="s">
        <v>1</v>
      </c>
      <c r="E2" s="18" t="s">
        <v>23</v>
      </c>
      <c r="F2" s="19" t="s">
        <v>2</v>
      </c>
      <c r="G2" s="19" t="s">
        <v>3</v>
      </c>
      <c r="I2" s="4"/>
      <c r="J2" s="4"/>
    </row>
    <row r="3" spans="1:10" ht="20" customHeight="1" thickTop="1" x14ac:dyDescent="0.2">
      <c r="A3" s="20">
        <v>59123</v>
      </c>
      <c r="B3" s="21">
        <v>44221</v>
      </c>
      <c r="C3" s="22" t="s">
        <v>4</v>
      </c>
      <c r="D3" s="22" t="s">
        <v>26</v>
      </c>
      <c r="E3" s="22">
        <v>125</v>
      </c>
      <c r="F3" s="23">
        <v>3.25</v>
      </c>
      <c r="G3" s="23">
        <f>E3 * F3</f>
        <v>406.25</v>
      </c>
      <c r="I3" s="13"/>
      <c r="J3" s="13"/>
    </row>
    <row r="4" spans="1:10" ht="20" customHeight="1" x14ac:dyDescent="0.2">
      <c r="A4" s="20">
        <v>59123</v>
      </c>
      <c r="B4" s="21">
        <v>44221</v>
      </c>
      <c r="C4" s="22" t="s">
        <v>14</v>
      </c>
      <c r="D4" s="22" t="s">
        <v>21</v>
      </c>
      <c r="E4" s="24">
        <v>62</v>
      </c>
      <c r="F4" s="25">
        <v>3.3</v>
      </c>
      <c r="G4" s="23">
        <f t="shared" ref="G4:G13" si="0">E4 * F4</f>
        <v>204.6</v>
      </c>
    </row>
    <row r="5" spans="1:10" ht="20" customHeight="1" x14ac:dyDescent="0.2">
      <c r="A5" s="20">
        <v>59123</v>
      </c>
      <c r="B5" s="21">
        <v>44221</v>
      </c>
      <c r="C5" s="22" t="s">
        <v>6</v>
      </c>
      <c r="D5" s="22" t="s">
        <v>16</v>
      </c>
      <c r="E5" s="24">
        <v>55</v>
      </c>
      <c r="F5" s="25">
        <v>3.35</v>
      </c>
      <c r="G5" s="23">
        <f t="shared" si="0"/>
        <v>184.25</v>
      </c>
    </row>
    <row r="6" spans="1:10" ht="20" customHeight="1" x14ac:dyDescent="0.2">
      <c r="A6" s="20">
        <v>59254</v>
      </c>
      <c r="B6" s="21">
        <v>44222</v>
      </c>
      <c r="C6" s="22" t="s">
        <v>5</v>
      </c>
      <c r="D6" s="22" t="s">
        <v>15</v>
      </c>
      <c r="E6" s="24">
        <v>300</v>
      </c>
      <c r="F6" s="25">
        <v>2.68</v>
      </c>
      <c r="G6" s="23">
        <f t="shared" si="0"/>
        <v>804</v>
      </c>
    </row>
    <row r="7" spans="1:10" ht="20" customHeight="1" x14ac:dyDescent="0.2">
      <c r="A7" s="20">
        <v>59254</v>
      </c>
      <c r="B7" s="21">
        <v>44223</v>
      </c>
      <c r="C7" s="22" t="s">
        <v>11</v>
      </c>
      <c r="D7" s="22" t="s">
        <v>19</v>
      </c>
      <c r="E7" s="24">
        <v>78</v>
      </c>
      <c r="F7" s="25">
        <v>10.25</v>
      </c>
      <c r="G7" s="23">
        <f t="shared" si="0"/>
        <v>799.5</v>
      </c>
    </row>
    <row r="8" spans="1:10" ht="20" customHeight="1" x14ac:dyDescent="0.2">
      <c r="A8" s="20">
        <v>59298</v>
      </c>
      <c r="B8" s="21">
        <v>44224</v>
      </c>
      <c r="C8" s="22" t="s">
        <v>10</v>
      </c>
      <c r="D8" s="22" t="s">
        <v>22</v>
      </c>
      <c r="E8" s="24">
        <v>564</v>
      </c>
      <c r="F8" s="25">
        <v>2.5</v>
      </c>
      <c r="G8" s="23">
        <f t="shared" si="0"/>
        <v>1410</v>
      </c>
    </row>
    <row r="9" spans="1:10" ht="20" customHeight="1" x14ac:dyDescent="0.2">
      <c r="A9" s="20">
        <v>59298</v>
      </c>
      <c r="B9" s="21">
        <v>44224</v>
      </c>
      <c r="C9" s="22" t="s">
        <v>13</v>
      </c>
      <c r="D9" s="22" t="s">
        <v>20</v>
      </c>
      <c r="E9" s="24">
        <v>95</v>
      </c>
      <c r="F9" s="25">
        <v>8.4499999999999993</v>
      </c>
      <c r="G9" s="23">
        <f t="shared" si="0"/>
        <v>802.74999999999989</v>
      </c>
    </row>
    <row r="10" spans="1:10" ht="20" customHeight="1" x14ac:dyDescent="0.2">
      <c r="A10" s="20">
        <v>59298</v>
      </c>
      <c r="B10" s="21">
        <v>44224</v>
      </c>
      <c r="C10" s="22" t="s">
        <v>12</v>
      </c>
      <c r="D10" s="22" t="s">
        <v>24</v>
      </c>
      <c r="E10" s="24">
        <v>225</v>
      </c>
      <c r="F10" s="25">
        <v>8.6</v>
      </c>
      <c r="G10" s="23">
        <f t="shared" si="0"/>
        <v>1935</v>
      </c>
    </row>
    <row r="11" spans="1:10" ht="20" customHeight="1" x14ac:dyDescent="0.2">
      <c r="A11" s="20">
        <v>59301</v>
      </c>
      <c r="B11" s="21">
        <v>44222</v>
      </c>
      <c r="C11" s="22" t="s">
        <v>7</v>
      </c>
      <c r="D11" s="22" t="s">
        <v>27</v>
      </c>
      <c r="E11" s="24">
        <v>325</v>
      </c>
      <c r="F11" s="25">
        <v>5.25</v>
      </c>
      <c r="G11" s="23">
        <f t="shared" si="0"/>
        <v>1706.25</v>
      </c>
    </row>
    <row r="12" spans="1:10" ht="20" customHeight="1" x14ac:dyDescent="0.2">
      <c r="A12" s="20">
        <v>59301</v>
      </c>
      <c r="B12" s="21">
        <v>44222</v>
      </c>
      <c r="C12" s="22" t="s">
        <v>8</v>
      </c>
      <c r="D12" s="22" t="s">
        <v>17</v>
      </c>
      <c r="E12" s="24">
        <v>5</v>
      </c>
      <c r="F12" s="25">
        <v>985</v>
      </c>
      <c r="G12" s="23">
        <f t="shared" si="0"/>
        <v>4925</v>
      </c>
    </row>
    <row r="13" spans="1:10" ht="20" customHeight="1" x14ac:dyDescent="0.2">
      <c r="A13" s="20">
        <v>59301</v>
      </c>
      <c r="B13" s="21">
        <v>44223</v>
      </c>
      <c r="C13" s="22" t="s">
        <v>9</v>
      </c>
      <c r="D13" s="22" t="s">
        <v>18</v>
      </c>
      <c r="E13" s="24">
        <v>2</v>
      </c>
      <c r="F13" s="25">
        <v>520</v>
      </c>
      <c r="G13" s="23">
        <f t="shared" si="0"/>
        <v>1040</v>
      </c>
    </row>
    <row r="14" spans="1:10" ht="20" customHeight="1" x14ac:dyDescent="0.15"/>
    <row r="15" spans="1:10" ht="20" customHeight="1" x14ac:dyDescent="0.15"/>
    <row r="16" spans="1:10" ht="20" customHeight="1" x14ac:dyDescent="0.15"/>
    <row r="17" spans="1:7" ht="20" customHeight="1" x14ac:dyDescent="0.15"/>
    <row r="18" spans="1:7" ht="20" customHeight="1" x14ac:dyDescent="0.15">
      <c r="A18" s="16"/>
      <c r="B18" s="16"/>
      <c r="C18" s="16"/>
      <c r="D18" s="16"/>
      <c r="E18" s="16"/>
      <c r="F18" s="16"/>
      <c r="G18" s="16"/>
    </row>
    <row r="19" spans="1:7" ht="20" customHeight="1" x14ac:dyDescent="0.15">
      <c r="A19"/>
    </row>
    <row r="20" spans="1:7" ht="20" customHeight="1" x14ac:dyDescent="0.15"/>
    <row r="21" spans="1:7" ht="20" customHeight="1" x14ac:dyDescent="0.15"/>
    <row r="22" spans="1:7" ht="20" customHeight="1" x14ac:dyDescent="0.15"/>
    <row r="23" spans="1:7" ht="20" customHeight="1" x14ac:dyDescent="0.15"/>
    <row r="24" spans="1:7" ht="20" customHeight="1" x14ac:dyDescent="0.15"/>
    <row r="25" spans="1:7" ht="20" customHeight="1" x14ac:dyDescent="0.2">
      <c r="A25" s="1"/>
      <c r="B25" s="2"/>
      <c r="C25" s="3"/>
      <c r="D25" s="3"/>
      <c r="E25" s="4"/>
      <c r="F25" s="5"/>
      <c r="G25" s="5"/>
    </row>
    <row r="26" spans="1:7" ht="20" customHeight="1" x14ac:dyDescent="0.15">
      <c r="A26" s="7"/>
      <c r="B26" s="2"/>
      <c r="C26" s="3"/>
      <c r="D26" s="3"/>
      <c r="E26" s="4"/>
      <c r="F26" s="8"/>
      <c r="G26" s="8"/>
    </row>
    <row r="27" spans="1:7" ht="20" customHeight="1" x14ac:dyDescent="0.15">
      <c r="B27" s="10"/>
      <c r="G27" s="13"/>
    </row>
    <row r="28" spans="1:7" ht="20" customHeight="1" x14ac:dyDescent="0.15">
      <c r="B28" s="10"/>
      <c r="G28" s="13"/>
    </row>
    <row r="29" spans="1:7" ht="20" customHeight="1" x14ac:dyDescent="0.15">
      <c r="B29" s="10"/>
      <c r="G29" s="13"/>
    </row>
    <row r="30" spans="1:7" ht="20" customHeight="1" x14ac:dyDescent="0.15">
      <c r="A30" s="15"/>
      <c r="B30" s="10"/>
      <c r="G30" s="13"/>
    </row>
    <row r="31" spans="1:7" ht="12.75" customHeight="1" x14ac:dyDescent="0.15">
      <c r="B31" s="10"/>
      <c r="G31" s="13"/>
    </row>
    <row r="32" spans="1:7" ht="12.75" customHeight="1" x14ac:dyDescent="0.15"/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Inventory</vt:lpstr>
      <vt:lpstr>Order Database</vt:lpstr>
      <vt:lpstr>Database</vt:lpstr>
      <vt:lpstr>'Order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Joseph Korman</cp:lastModifiedBy>
  <cp:lastPrinted>1997-12-14T05:21:38Z</cp:lastPrinted>
  <dcterms:created xsi:type="dcterms:W3CDTF">1997-12-14T03:00:39Z</dcterms:created>
  <dcterms:modified xsi:type="dcterms:W3CDTF">2025-03-21T14:42:13Z</dcterms:modified>
</cp:coreProperties>
</file>