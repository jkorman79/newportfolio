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ephkorman/Desktop/Class Documents/MIS 500/Homeworks/Homework #2/SC_EX_6/"/>
    </mc:Choice>
  </mc:AlternateContent>
  <xr:revisionPtr revIDLastSave="0" documentId="13_ncr:1_{D636FF1D-10D4-AC4E-BF41-4526A2540112}" xr6:coauthVersionLast="47" xr6:coauthVersionMax="47" xr10:uidLastSave="{00000000-0000-0000-0000-000000000000}"/>
  <bookViews>
    <workbookView xWindow="0" yWindow="800" windowWidth="30240" windowHeight="17380" xr2:uid="{D6CDB23D-4240-7047-8D53-9999A0298617}"/>
  </bookViews>
  <sheets>
    <sheet name="May 2021" sheetId="1" r:id="rId1"/>
  </sheets>
  <definedNames>
    <definedName name="_xlnm._FilterDatabase" localSheetId="0" hidden="1">'May 2021'!$A$8:$I$22</definedName>
    <definedName name="_xlnm.Criteria">'May 2021'!$A$2:$I$3</definedName>
    <definedName name="_xlnm.Extract">'May 2021'!$A$25:$I$28</definedName>
    <definedName name="Extraxt">'May 2021'!$A$25:$I$28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0" i="1" l="1"/>
  <c r="Q7" i="1"/>
  <c r="Q6" i="1"/>
  <c r="Q4" i="1"/>
  <c r="Q3" i="1"/>
  <c r="Q2" i="1"/>
  <c r="I17" i="1"/>
  <c r="I15" i="1"/>
  <c r="I12" i="1"/>
  <c r="I13" i="1"/>
  <c r="I21" i="1"/>
  <c r="I22" i="1"/>
  <c r="I16" i="1"/>
  <c r="I18" i="1"/>
  <c r="I11" i="1"/>
  <c r="I10" i="1"/>
  <c r="I9" i="1"/>
  <c r="I14" i="1"/>
  <c r="I20" i="1"/>
  <c r="I19" i="1"/>
  <c r="H17" i="1"/>
  <c r="H15" i="1"/>
  <c r="H12" i="1"/>
  <c r="H13" i="1"/>
  <c r="H21" i="1"/>
  <c r="H22" i="1"/>
  <c r="H16" i="1"/>
  <c r="H18" i="1"/>
  <c r="H11" i="1"/>
  <c r="H10" i="1"/>
  <c r="H9" i="1"/>
  <c r="H14" i="1"/>
  <c r="H20" i="1"/>
  <c r="H19" i="1"/>
  <c r="G17" i="1"/>
  <c r="G15" i="1"/>
  <c r="G12" i="1"/>
  <c r="G13" i="1"/>
  <c r="G21" i="1"/>
  <c r="G22" i="1"/>
  <c r="G16" i="1"/>
  <c r="G18" i="1"/>
  <c r="G11" i="1"/>
  <c r="G10" i="1"/>
  <c r="G9" i="1"/>
  <c r="G14" i="1"/>
  <c r="G20" i="1"/>
  <c r="G19" i="1"/>
  <c r="Q5" i="1" l="1"/>
</calcChain>
</file>

<file path=xl/sharedStrings.xml><?xml version="1.0" encoding="utf-8"?>
<sst xmlns="http://schemas.openxmlformats.org/spreadsheetml/2006/main" count="111" uniqueCount="46">
  <si>
    <t>Employee ID</t>
  </si>
  <si>
    <t>Name</t>
  </si>
  <si>
    <t>Branch</t>
  </si>
  <si>
    <t>Specialty</t>
  </si>
  <si>
    <t>Account Values</t>
  </si>
  <si>
    <t>Carey, Bruce</t>
  </si>
  <si>
    <t>Dey, Julia</t>
  </si>
  <si>
    <t>Hefner, Reggie</t>
  </si>
  <si>
    <t>Nunez, Javier</t>
  </si>
  <si>
    <t>Quintin, Mark</t>
  </si>
  <si>
    <t>Watson, Latisha</t>
  </si>
  <si>
    <t>Brownsburg</t>
  </si>
  <si>
    <t>Avon</t>
  </si>
  <si>
    <t>Plainfield</t>
  </si>
  <si>
    <t>CD/Monkey Market</t>
  </si>
  <si>
    <t>Checking/Savings</t>
  </si>
  <si>
    <t>IRA/SEP</t>
  </si>
  <si>
    <t>Loans</t>
  </si>
  <si>
    <t>Trono, Maria</t>
  </si>
  <si>
    <t>Zhang, Wei</t>
  </si>
  <si>
    <t>Rating</t>
  </si>
  <si>
    <t>Loan Commission</t>
  </si>
  <si>
    <t>New Money Commission</t>
  </si>
  <si>
    <t>Bank Account Managers - May 2021</t>
  </si>
  <si>
    <t>Rating Table</t>
  </si>
  <si>
    <t>Review</t>
  </si>
  <si>
    <t>Poor</t>
  </si>
  <si>
    <t>Fair</t>
  </si>
  <si>
    <t>Good</t>
  </si>
  <si>
    <t>Excellent</t>
  </si>
  <si>
    <t>Criteria Range</t>
  </si>
  <si>
    <t>&gt;300000</t>
  </si>
  <si>
    <t>&gt;=8</t>
  </si>
  <si>
    <t>Extract Area</t>
  </si>
  <si>
    <t>Output Area</t>
  </si>
  <si>
    <t>Avg. Avon Supervisor Review:</t>
  </si>
  <si>
    <t>Avg. Brownsburg Supervisor Review:</t>
  </si>
  <si>
    <t>Avg. Plainfield Supervisor Review:</t>
  </si>
  <si>
    <t>Managers with Poor Ratings:</t>
  </si>
  <si>
    <t>Total Checking/Savings:</t>
  </si>
  <si>
    <t>Count of Loan Officers:</t>
  </si>
  <si>
    <t>Locator</t>
  </si>
  <si>
    <t>Enter Employee ID Number</t>
  </si>
  <si>
    <t>Branch Location and Entered Employee:</t>
  </si>
  <si>
    <t>Function Branch Criteria</t>
  </si>
  <si>
    <t>Supervisor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</si>
</sst>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22"/>
      <color theme="1"/>
      <name val="Aptos Narrow"/>
      <scheme val="minor"/>
    </font>
    <font>
      <b/>
      <sz val="18"/>
      <color theme="1"/>
      <name val="Aptos Narrow"/>
      <scheme val="minor"/>
    </font>
    <font>
      <b/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theme="7" tint="0.59999389629810485"/>
        <bgColor theme="7" tint="0.59999389629810485"/>
      </patternFill>
    </fill>
    <fill>
      <patternFill patternType="solid">
        <fgColor theme="7" tint="0.79998168889431442"/>
        <bgColor theme="7" tint="0.79998168889431442"/>
      </patternFill>
    </fill>
  </fills>
  <borders count="12">
    <border>
      <left/>
      <right/>
      <top/>
      <bottom/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ck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44" fontId="0" fillId="0" borderId="0" xfId="1" applyFont="1"/>
    <xf numFmtId="0" fontId="0" fillId="0" borderId="0" xfId="0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Continuous"/>
    </xf>
    <xf numFmtId="0" fontId="2" fillId="2" borderId="1" xfId="0" applyFont="1" applyFill="1" applyBorder="1" applyAlignment="1">
      <alignment wrapText="1"/>
    </xf>
    <xf numFmtId="44" fontId="0" fillId="0" borderId="0" xfId="0" applyNumberFormat="1"/>
    <xf numFmtId="0" fontId="2" fillId="2" borderId="2" xfId="0" applyFont="1" applyFill="1" applyBorder="1"/>
    <xf numFmtId="0" fontId="2" fillId="2" borderId="3" xfId="0" applyFont="1" applyFill="1" applyBorder="1"/>
    <xf numFmtId="0" fontId="0" fillId="3" borderId="5" xfId="0" applyFill="1" applyBorder="1"/>
    <xf numFmtId="2" fontId="0" fillId="0" borderId="0" xfId="0" applyNumberFormat="1"/>
    <xf numFmtId="0" fontId="2" fillId="2" borderId="3" xfId="0" applyFont="1" applyFill="1" applyBorder="1" applyAlignment="1">
      <alignment wrapText="1"/>
    </xf>
    <xf numFmtId="0" fontId="0" fillId="3" borderId="4" xfId="0" applyFill="1" applyBorder="1" applyAlignment="1">
      <alignment horizontal="center"/>
    </xf>
    <xf numFmtId="44" fontId="0" fillId="3" borderId="5" xfId="1" applyFont="1" applyFill="1" applyBorder="1"/>
    <xf numFmtId="44" fontId="0" fillId="3" borderId="5" xfId="0" applyNumberFormat="1" applyFill="1" applyBorder="1"/>
    <xf numFmtId="44" fontId="0" fillId="3" borderId="6" xfId="0" applyNumberFormat="1" applyFill="1" applyBorder="1"/>
    <xf numFmtId="0" fontId="2" fillId="2" borderId="0" xfId="0" applyFont="1" applyFill="1"/>
    <xf numFmtId="0" fontId="2" fillId="2" borderId="8" xfId="0" applyFont="1" applyFill="1" applyBorder="1"/>
    <xf numFmtId="0" fontId="2" fillId="2" borderId="8" xfId="0" applyFont="1" applyFill="1" applyBorder="1" applyAlignment="1">
      <alignment wrapText="1"/>
    </xf>
    <xf numFmtId="0" fontId="0" fillId="3" borderId="9" xfId="0" applyFill="1" applyBorder="1" applyAlignment="1">
      <alignment horizontal="center"/>
    </xf>
    <xf numFmtId="0" fontId="0" fillId="3" borderId="7" xfId="0" applyFill="1" applyBorder="1"/>
    <xf numFmtId="44" fontId="0" fillId="3" borderId="7" xfId="1" applyFont="1" applyFill="1" applyBorder="1"/>
    <xf numFmtId="44" fontId="0" fillId="3" borderId="7" xfId="0" applyNumberFormat="1" applyFill="1" applyBorder="1"/>
    <xf numFmtId="0" fontId="0" fillId="4" borderId="10" xfId="0" applyFill="1" applyBorder="1" applyAlignment="1">
      <alignment horizontal="center"/>
    </xf>
    <xf numFmtId="0" fontId="0" fillId="4" borderId="11" xfId="0" applyFill="1" applyBorder="1"/>
    <xf numFmtId="44" fontId="0" fillId="4" borderId="11" xfId="1" applyFont="1" applyFill="1" applyBorder="1"/>
    <xf numFmtId="44" fontId="0" fillId="4" borderId="11" xfId="0" applyNumberFormat="1" applyFill="1" applyBorder="1"/>
    <xf numFmtId="0" fontId="0" fillId="3" borderId="10" xfId="0" applyFill="1" applyBorder="1" applyAlignment="1">
      <alignment horizontal="center"/>
    </xf>
    <xf numFmtId="0" fontId="0" fillId="3" borderId="11" xfId="0" applyFill="1" applyBorder="1"/>
    <xf numFmtId="44" fontId="0" fillId="3" borderId="11" xfId="1" applyFont="1" applyFill="1" applyBorder="1"/>
    <xf numFmtId="44" fontId="0" fillId="3" borderId="11" xfId="0" applyNumberFormat="1" applyFill="1" applyBorder="1"/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2124F-341A-0141-A4AA-C5E9A081469C}">
  <sheetPr>
    <tabColor theme="3" tint="0.249977111117893"/>
  </sheetPr>
  <dimension ref="A1:Q44"/>
  <sheetViews>
    <sheetView tabSelected="1" topLeftCell="L1" zoomScale="200" zoomScaleNormal="100" workbookViewId="0">
      <selection activeCell="O8" sqref="O8:Q8"/>
    </sheetView>
  </sheetViews>
  <sheetFormatPr baseColWidth="10" defaultRowHeight="16" x14ac:dyDescent="0.2"/>
  <cols>
    <col min="1" max="1" width="13.83203125" bestFit="1" customWidth="1"/>
    <col min="2" max="2" width="14" bestFit="1" customWidth="1"/>
    <col min="4" max="4" width="16.83203125" bestFit="1" customWidth="1"/>
    <col min="5" max="5" width="16.5" bestFit="1" customWidth="1"/>
    <col min="6" max="6" width="13.6640625" customWidth="1"/>
    <col min="7" max="9" width="13.83203125" customWidth="1"/>
    <col min="12" max="13" width="14.83203125" style="4" customWidth="1"/>
    <col min="15" max="17" width="18.83203125" customWidth="1"/>
  </cols>
  <sheetData>
    <row r="1" spans="1:17" ht="29" x14ac:dyDescent="0.35">
      <c r="A1" s="5" t="s">
        <v>30</v>
      </c>
      <c r="B1" s="4"/>
      <c r="C1" s="4"/>
      <c r="D1" s="4"/>
      <c r="E1" s="4"/>
      <c r="F1" s="4"/>
      <c r="G1" s="4"/>
      <c r="H1" s="4"/>
      <c r="I1" s="1"/>
      <c r="L1" s="6" t="s">
        <v>24</v>
      </c>
      <c r="O1" s="33" t="s">
        <v>34</v>
      </c>
      <c r="P1" s="33"/>
      <c r="Q1" s="33"/>
    </row>
    <row r="2" spans="1:17" ht="35" thickBot="1" x14ac:dyDescent="0.25">
      <c r="A2" s="9" t="s">
        <v>0</v>
      </c>
      <c r="B2" s="10" t="s">
        <v>1</v>
      </c>
      <c r="C2" s="10" t="s">
        <v>2</v>
      </c>
      <c r="D2" s="10" t="s">
        <v>3</v>
      </c>
      <c r="E2" s="10" t="s">
        <v>4</v>
      </c>
      <c r="F2" s="13" t="s">
        <v>45</v>
      </c>
      <c r="G2" s="10" t="s">
        <v>20</v>
      </c>
      <c r="H2" s="13" t="s">
        <v>21</v>
      </c>
      <c r="I2" s="7" t="s">
        <v>22</v>
      </c>
      <c r="J2" s="1"/>
      <c r="K2" s="1"/>
      <c r="L2" s="7" t="s">
        <v>25</v>
      </c>
      <c r="M2" s="7" t="s">
        <v>20</v>
      </c>
      <c r="O2" t="s">
        <v>35</v>
      </c>
      <c r="Q2" s="12">
        <f>DAVERAGE(A8:I22,"Supervisor Review",O12:O13)</f>
        <v>9.0833333333333339</v>
      </c>
    </row>
    <row r="3" spans="1:17" ht="17" thickTop="1" x14ac:dyDescent="0.2">
      <c r="A3" s="14"/>
      <c r="B3" s="11"/>
      <c r="C3" s="11"/>
      <c r="D3" s="11" t="s">
        <v>16</v>
      </c>
      <c r="E3" s="15" t="s">
        <v>31</v>
      </c>
      <c r="F3" s="11" t="s">
        <v>32</v>
      </c>
      <c r="G3" s="11"/>
      <c r="H3" s="16"/>
      <c r="I3" s="17"/>
      <c r="J3" s="1"/>
      <c r="K3" s="1"/>
      <c r="L3" s="1">
        <v>0</v>
      </c>
      <c r="M3" s="4" t="s">
        <v>26</v>
      </c>
      <c r="O3" t="s">
        <v>36</v>
      </c>
      <c r="Q3" s="12">
        <f>DAVERAGE(A8:I22,"Supervisor Review",P12:P13)</f>
        <v>8.625</v>
      </c>
    </row>
    <row r="4" spans="1:17" x14ac:dyDescent="0.2">
      <c r="I4" s="1"/>
      <c r="J4" s="1"/>
      <c r="K4" s="1"/>
      <c r="L4" s="1">
        <v>7</v>
      </c>
      <c r="M4" s="4" t="s">
        <v>27</v>
      </c>
      <c r="O4" t="s">
        <v>37</v>
      </c>
      <c r="Q4" s="12">
        <f>DAVERAGE(A8:I22,"Supervisor Review",Q12:Q13)</f>
        <v>7.125</v>
      </c>
    </row>
    <row r="5" spans="1:17" x14ac:dyDescent="0.2">
      <c r="I5" s="1"/>
      <c r="J5" s="1"/>
      <c r="K5" s="1"/>
      <c r="L5" s="1">
        <v>8</v>
      </c>
      <c r="M5" s="4" t="s">
        <v>28</v>
      </c>
      <c r="O5" t="s">
        <v>38</v>
      </c>
      <c r="Q5">
        <f>DCOUNT(A8:I22,"Supervisor Review",M2:M3)</f>
        <v>2</v>
      </c>
    </row>
    <row r="6" spans="1:17" x14ac:dyDescent="0.2">
      <c r="I6" s="1"/>
      <c r="J6" s="1"/>
      <c r="K6" s="1"/>
      <c r="L6" s="1">
        <v>9</v>
      </c>
      <c r="M6" s="4" t="s">
        <v>29</v>
      </c>
      <c r="O6" t="s">
        <v>39</v>
      </c>
      <c r="Q6" s="3">
        <f>SUMIF(D9:D22, "Checking/Savings",E9:E22)</f>
        <v>1721540</v>
      </c>
    </row>
    <row r="7" spans="1:17" ht="30" customHeight="1" x14ac:dyDescent="0.35">
      <c r="A7" s="5" t="s">
        <v>23</v>
      </c>
      <c r="B7" s="4"/>
      <c r="C7" s="4"/>
      <c r="D7" s="4"/>
      <c r="E7" s="4"/>
      <c r="F7" s="4"/>
      <c r="G7" s="4"/>
      <c r="H7" s="4"/>
      <c r="I7" s="1"/>
      <c r="J7" s="1"/>
      <c r="K7" s="1"/>
      <c r="L7" s="1"/>
      <c r="O7" s="35" t="s">
        <v>40</v>
      </c>
      <c r="P7" s="35"/>
      <c r="Q7">
        <f>COUNTIF(D9:D22,"loans")</f>
        <v>4</v>
      </c>
    </row>
    <row r="8" spans="1:17" ht="30" customHeight="1" thickBot="1" x14ac:dyDescent="0.25">
      <c r="A8" s="18" t="s">
        <v>0</v>
      </c>
      <c r="B8" s="19" t="s">
        <v>1</v>
      </c>
      <c r="C8" s="19" t="s">
        <v>2</v>
      </c>
      <c r="D8" s="19" t="s">
        <v>3</v>
      </c>
      <c r="E8" s="19" t="s">
        <v>4</v>
      </c>
      <c r="F8" s="20" t="s">
        <v>45</v>
      </c>
      <c r="G8" s="19" t="s">
        <v>20</v>
      </c>
      <c r="H8" s="20" t="s">
        <v>21</v>
      </c>
      <c r="I8" s="20" t="s">
        <v>22</v>
      </c>
      <c r="J8" s="1"/>
      <c r="K8" s="1"/>
      <c r="L8" s="1"/>
      <c r="O8" s="34" t="s">
        <v>41</v>
      </c>
      <c r="P8" s="34"/>
      <c r="Q8" s="34"/>
    </row>
    <row r="9" spans="1:17" ht="17" thickTop="1" x14ac:dyDescent="0.2">
      <c r="A9" s="21">
        <v>35724</v>
      </c>
      <c r="B9" s="22" t="s">
        <v>10</v>
      </c>
      <c r="C9" s="22" t="s">
        <v>12</v>
      </c>
      <c r="D9" s="22" t="s">
        <v>15</v>
      </c>
      <c r="E9" s="23">
        <v>515896</v>
      </c>
      <c r="F9" s="22">
        <v>8</v>
      </c>
      <c r="G9" s="22" t="str">
        <f t="shared" ref="G9:G22" si="0">_xlfn.XLOOKUP(F9,$L$3:$L$6,$M$3:$M$6,,-1)</f>
        <v>Good</v>
      </c>
      <c r="H9" s="24">
        <f>IF('May 2021'!$D9="Loans",'May 2021'!$E9*0.0025,0)</f>
        <v>0</v>
      </c>
      <c r="I9" s="24">
        <f>IF('May 2021'!$D9="Loans",0,'May 2021'!$E9*0.0002)</f>
        <v>103.17920000000001</v>
      </c>
      <c r="O9" t="s">
        <v>42</v>
      </c>
      <c r="Q9">
        <v>18481</v>
      </c>
    </row>
    <row r="10" spans="1:17" x14ac:dyDescent="0.2">
      <c r="A10" s="25">
        <v>35724</v>
      </c>
      <c r="B10" s="26" t="s">
        <v>10</v>
      </c>
      <c r="C10" s="26" t="s">
        <v>12</v>
      </c>
      <c r="D10" s="26" t="s">
        <v>14</v>
      </c>
      <c r="E10" s="27">
        <v>721340</v>
      </c>
      <c r="F10" s="26">
        <v>8.5</v>
      </c>
      <c r="G10" s="26" t="str">
        <f t="shared" si="0"/>
        <v>Good</v>
      </c>
      <c r="H10" s="28">
        <f>IF('May 2021'!$D10="Loans",'May 2021'!$E10*0.0025,0)</f>
        <v>0</v>
      </c>
      <c r="I10" s="28">
        <f>IF('May 2021'!$D10="Loans",0,'May 2021'!$E10*0.0002)</f>
        <v>144.268</v>
      </c>
      <c r="O10" t="s">
        <v>43</v>
      </c>
      <c r="Q10" t="str">
        <f>INDEX(A9:I22, MATCH(Q9,A9:A22,0),3)</f>
        <v>Avon</v>
      </c>
    </row>
    <row r="11" spans="1:17" x14ac:dyDescent="0.2">
      <c r="A11" s="29">
        <v>49103</v>
      </c>
      <c r="B11" s="30" t="s">
        <v>9</v>
      </c>
      <c r="C11" s="30" t="s">
        <v>12</v>
      </c>
      <c r="D11" s="30" t="s">
        <v>16</v>
      </c>
      <c r="E11" s="31">
        <v>750000</v>
      </c>
      <c r="F11" s="30">
        <v>9</v>
      </c>
      <c r="G11" s="30" t="str">
        <f t="shared" si="0"/>
        <v>Excellent</v>
      </c>
      <c r="H11" s="32">
        <f>IF('May 2021'!$D11="Loans",'May 2021'!$E11*0.0025,0)</f>
        <v>0</v>
      </c>
      <c r="I11" s="32">
        <f>IF('May 2021'!$D11="Loans",0,'May 2021'!$E11*0.0002)</f>
        <v>150</v>
      </c>
      <c r="O11" s="34" t="s">
        <v>44</v>
      </c>
      <c r="P11" s="34"/>
      <c r="Q11" s="34"/>
    </row>
    <row r="12" spans="1:17" ht="17" thickBot="1" x14ac:dyDescent="0.25">
      <c r="A12" s="25">
        <v>18481</v>
      </c>
      <c r="B12" s="26" t="s">
        <v>6</v>
      </c>
      <c r="C12" s="26" t="s">
        <v>12</v>
      </c>
      <c r="D12" s="26" t="s">
        <v>16</v>
      </c>
      <c r="E12" s="27">
        <v>850000</v>
      </c>
      <c r="F12" s="26">
        <v>10</v>
      </c>
      <c r="G12" s="26" t="str">
        <f t="shared" si="0"/>
        <v>Excellent</v>
      </c>
      <c r="H12" s="28">
        <f>IF('May 2021'!$D12="Loans",'May 2021'!$E12*0.0025,0)</f>
        <v>0</v>
      </c>
      <c r="I12" s="28">
        <f>IF('May 2021'!$D12="Loans",0,'May 2021'!$E12*0.0002)</f>
        <v>170</v>
      </c>
      <c r="O12" s="9" t="s">
        <v>2</v>
      </c>
      <c r="P12" s="10" t="s">
        <v>2</v>
      </c>
      <c r="Q12" s="10" t="s">
        <v>2</v>
      </c>
    </row>
    <row r="13" spans="1:17" ht="17" thickTop="1" x14ac:dyDescent="0.2">
      <c r="A13" s="29">
        <v>18481</v>
      </c>
      <c r="B13" s="30" t="s">
        <v>6</v>
      </c>
      <c r="C13" s="30" t="s">
        <v>12</v>
      </c>
      <c r="D13" s="30" t="s">
        <v>17</v>
      </c>
      <c r="E13" s="31">
        <v>1745130</v>
      </c>
      <c r="F13" s="30">
        <v>10</v>
      </c>
      <c r="G13" s="30" t="str">
        <f t="shared" si="0"/>
        <v>Excellent</v>
      </c>
      <c r="H13" s="32">
        <f>IF('May 2021'!$D13="Loans",'May 2021'!$E13*0.0025,0)</f>
        <v>4362.8249999999998</v>
      </c>
      <c r="I13" s="32">
        <f>IF('May 2021'!$D13="Loans",0,'May 2021'!$E13*0.0002)</f>
        <v>0</v>
      </c>
      <c r="O13" t="s">
        <v>12</v>
      </c>
      <c r="P13" t="s">
        <v>11</v>
      </c>
      <c r="Q13" t="s">
        <v>13</v>
      </c>
    </row>
    <row r="14" spans="1:17" x14ac:dyDescent="0.2">
      <c r="A14" s="25">
        <v>49103</v>
      </c>
      <c r="B14" s="26" t="s">
        <v>9</v>
      </c>
      <c r="C14" s="26" t="s">
        <v>12</v>
      </c>
      <c r="D14" s="26" t="s">
        <v>17</v>
      </c>
      <c r="E14" s="27">
        <v>4429507</v>
      </c>
      <c r="F14" s="26">
        <v>9</v>
      </c>
      <c r="G14" s="26" t="str">
        <f t="shared" si="0"/>
        <v>Excellent</v>
      </c>
      <c r="H14" s="28">
        <f>IF('May 2021'!$D14="Loans",'May 2021'!$E14*0.0025,0)</f>
        <v>11073.7675</v>
      </c>
      <c r="I14" s="28">
        <f>IF('May 2021'!$D14="Loans",0,'May 2021'!$E14*0.0002)</f>
        <v>0</v>
      </c>
    </row>
    <row r="15" spans="1:17" x14ac:dyDescent="0.2">
      <c r="A15" s="29">
        <v>68835</v>
      </c>
      <c r="B15" s="30" t="s">
        <v>5</v>
      </c>
      <c r="C15" s="30" t="s">
        <v>11</v>
      </c>
      <c r="D15" s="30" t="s">
        <v>15</v>
      </c>
      <c r="E15" s="31">
        <v>468750</v>
      </c>
      <c r="F15" s="30">
        <v>7</v>
      </c>
      <c r="G15" s="30" t="str">
        <f t="shared" si="0"/>
        <v>Fair</v>
      </c>
      <c r="H15" s="32">
        <f>IF('May 2021'!$D15="Loans",'May 2021'!$E15*0.0025,0)</f>
        <v>0</v>
      </c>
      <c r="I15" s="32">
        <f>IF('May 2021'!$D15="Loans",0,'May 2021'!$E15*0.0002)</f>
        <v>93.75</v>
      </c>
    </row>
    <row r="16" spans="1:17" x14ac:dyDescent="0.2">
      <c r="A16" s="25">
        <v>17208</v>
      </c>
      <c r="B16" s="26" t="s">
        <v>8</v>
      </c>
      <c r="C16" s="26" t="s">
        <v>11</v>
      </c>
      <c r="D16" s="26" t="s">
        <v>16</v>
      </c>
      <c r="E16" s="27">
        <v>575140</v>
      </c>
      <c r="F16" s="26">
        <v>8</v>
      </c>
      <c r="G16" s="26" t="str">
        <f t="shared" si="0"/>
        <v>Good</v>
      </c>
      <c r="H16" s="28">
        <f>IF('May 2021'!$D16="Loans",'May 2021'!$E16*0.0025,0)</f>
        <v>0</v>
      </c>
      <c r="I16" s="28">
        <f>IF('May 2021'!$D16="Loans",0,'May 2021'!$E16*0.0002)</f>
        <v>115.02800000000001</v>
      </c>
    </row>
    <row r="17" spans="1:13" x14ac:dyDescent="0.2">
      <c r="A17" s="29">
        <v>68835</v>
      </c>
      <c r="B17" s="30" t="s">
        <v>5</v>
      </c>
      <c r="C17" s="30" t="s">
        <v>11</v>
      </c>
      <c r="D17" s="30" t="s">
        <v>14</v>
      </c>
      <c r="E17" s="31">
        <v>2056123</v>
      </c>
      <c r="F17" s="30">
        <v>10</v>
      </c>
      <c r="G17" s="30" t="str">
        <f t="shared" si="0"/>
        <v>Excellent</v>
      </c>
      <c r="H17" s="32">
        <f>IF('May 2021'!$D17="Loans",'May 2021'!$E17*0.0025,0)</f>
        <v>0</v>
      </c>
      <c r="I17" s="31">
        <f>IF('May 2021'!$D17="Loans",0,'May 2021'!$E17*0.0002)</f>
        <v>411.22460000000001</v>
      </c>
    </row>
    <row r="18" spans="1:13" x14ac:dyDescent="0.2">
      <c r="A18" s="25">
        <v>17208</v>
      </c>
      <c r="B18" s="26" t="s">
        <v>8</v>
      </c>
      <c r="C18" s="26" t="s">
        <v>11</v>
      </c>
      <c r="D18" s="26" t="s">
        <v>17</v>
      </c>
      <c r="E18" s="27">
        <v>3265405</v>
      </c>
      <c r="F18" s="26">
        <v>9.5</v>
      </c>
      <c r="G18" s="26" t="str">
        <f t="shared" si="0"/>
        <v>Excellent</v>
      </c>
      <c r="H18" s="28">
        <f>IF('May 2021'!$D18="Loans",'May 2021'!$E18*0.0025,0)</f>
        <v>8163.5124999999998</v>
      </c>
      <c r="I18" s="28">
        <f>IF('May 2021'!$D18="Loans",0,'May 2021'!$E18*0.0002)</f>
        <v>0</v>
      </c>
    </row>
    <row r="19" spans="1:13" x14ac:dyDescent="0.2">
      <c r="A19" s="29">
        <v>70607</v>
      </c>
      <c r="B19" s="30" t="s">
        <v>19</v>
      </c>
      <c r="C19" s="30" t="s">
        <v>13</v>
      </c>
      <c r="D19" s="30" t="s">
        <v>16</v>
      </c>
      <c r="E19" s="31">
        <v>265111</v>
      </c>
      <c r="F19" s="30">
        <v>6.5</v>
      </c>
      <c r="G19" s="30" t="str">
        <f t="shared" si="0"/>
        <v>Poor</v>
      </c>
      <c r="H19" s="32">
        <f>IF('May 2021'!$D19="Loans",'May 2021'!$E19*0.0025,0)</f>
        <v>0</v>
      </c>
      <c r="I19" s="32">
        <f>IF('May 2021'!$D19="Loans",0,'May 2021'!$E19*0.0002)</f>
        <v>53.022200000000005</v>
      </c>
    </row>
    <row r="20" spans="1:13" x14ac:dyDescent="0.2">
      <c r="A20" s="25">
        <v>54319</v>
      </c>
      <c r="B20" s="26" t="s">
        <v>18</v>
      </c>
      <c r="C20" s="26" t="s">
        <v>13</v>
      </c>
      <c r="D20" s="26" t="s">
        <v>14</v>
      </c>
      <c r="E20" s="27">
        <v>292789</v>
      </c>
      <c r="F20" s="26">
        <v>6.5</v>
      </c>
      <c r="G20" s="26" t="str">
        <f t="shared" si="0"/>
        <v>Poor</v>
      </c>
      <c r="H20" s="28">
        <f>IF('May 2021'!$D20="Loans",'May 2021'!$E20*0.0025,0)</f>
        <v>0</v>
      </c>
      <c r="I20" s="28">
        <f>IF('May 2021'!$D20="Loans",0,'May 2021'!$E20*0.0002)</f>
        <v>58.5578</v>
      </c>
    </row>
    <row r="21" spans="1:13" x14ac:dyDescent="0.2">
      <c r="A21" s="29">
        <v>42687</v>
      </c>
      <c r="B21" s="30" t="s">
        <v>7</v>
      </c>
      <c r="C21" s="30" t="s">
        <v>13</v>
      </c>
      <c r="D21" s="30" t="s">
        <v>15</v>
      </c>
      <c r="E21" s="31">
        <v>736894</v>
      </c>
      <c r="F21" s="30">
        <v>8.5</v>
      </c>
      <c r="G21" s="30" t="str">
        <f t="shared" si="0"/>
        <v>Good</v>
      </c>
      <c r="H21" s="32">
        <f>IF('May 2021'!$D21="Loans",'May 2021'!$E21*0.0025,0)</f>
        <v>0</v>
      </c>
      <c r="I21" s="32">
        <f>IF('May 2021'!$D21="Loans",0,'May 2021'!$E21*0.0002)</f>
        <v>147.37880000000001</v>
      </c>
    </row>
    <row r="22" spans="1:13" x14ac:dyDescent="0.2">
      <c r="A22" s="25">
        <v>42687</v>
      </c>
      <c r="B22" s="26" t="s">
        <v>7</v>
      </c>
      <c r="C22" s="26" t="s">
        <v>13</v>
      </c>
      <c r="D22" s="26" t="s">
        <v>17</v>
      </c>
      <c r="E22" s="27">
        <v>760753</v>
      </c>
      <c r="F22" s="26">
        <v>7</v>
      </c>
      <c r="G22" s="26" t="str">
        <f t="shared" si="0"/>
        <v>Fair</v>
      </c>
      <c r="H22" s="28">
        <f>IF('May 2021'!$D22="Loans",'May 2021'!$E22*0.0025,0)</f>
        <v>1901.8824999999999</v>
      </c>
      <c r="I22" s="28">
        <f>IF('May 2021'!$D22="Loans",0,'May 2021'!$E22*0.0002)</f>
        <v>0</v>
      </c>
    </row>
    <row r="24" spans="1:13" ht="29" x14ac:dyDescent="0.35">
      <c r="A24" s="5" t="s">
        <v>33</v>
      </c>
      <c r="B24" s="4"/>
      <c r="C24" s="4"/>
      <c r="D24" s="4"/>
      <c r="E24" s="4"/>
      <c r="F24" s="4"/>
      <c r="G24" s="4"/>
      <c r="H24" s="4"/>
      <c r="I24" s="1"/>
    </row>
    <row r="25" spans="1:13" ht="35" thickBot="1" x14ac:dyDescent="0.25">
      <c r="A25" s="9" t="s">
        <v>0</v>
      </c>
      <c r="B25" s="10" t="s">
        <v>1</v>
      </c>
      <c r="C25" s="10" t="s">
        <v>2</v>
      </c>
      <c r="D25" s="10" t="s">
        <v>3</v>
      </c>
      <c r="E25" s="10" t="s">
        <v>4</v>
      </c>
      <c r="F25" s="13" t="s">
        <v>45</v>
      </c>
      <c r="G25" s="10" t="s">
        <v>20</v>
      </c>
      <c r="H25" s="13" t="s">
        <v>21</v>
      </c>
      <c r="I25" s="7" t="s">
        <v>22</v>
      </c>
    </row>
    <row r="26" spans="1:13" ht="17" thickTop="1" x14ac:dyDescent="0.2">
      <c r="A26" s="2">
        <v>17208</v>
      </c>
      <c r="B26" t="s">
        <v>8</v>
      </c>
      <c r="C26" t="s">
        <v>11</v>
      </c>
      <c r="D26" t="s">
        <v>16</v>
      </c>
      <c r="E26" s="3">
        <v>575140</v>
      </c>
      <c r="F26">
        <v>8</v>
      </c>
      <c r="G26" t="s">
        <v>28</v>
      </c>
      <c r="H26" s="8">
        <v>0</v>
      </c>
      <c r="I26" s="8">
        <v>115.02800000000001</v>
      </c>
    </row>
    <row r="27" spans="1:13" x14ac:dyDescent="0.2">
      <c r="A27" s="2">
        <v>49103</v>
      </c>
      <c r="B27" t="s">
        <v>9</v>
      </c>
      <c r="C27" t="s">
        <v>12</v>
      </c>
      <c r="D27" t="s">
        <v>16</v>
      </c>
      <c r="E27" s="3">
        <v>750000</v>
      </c>
      <c r="F27">
        <v>9</v>
      </c>
      <c r="G27" t="s">
        <v>29</v>
      </c>
      <c r="H27" s="8">
        <v>0</v>
      </c>
      <c r="I27" s="8">
        <v>150</v>
      </c>
    </row>
    <row r="28" spans="1:13" x14ac:dyDescent="0.2">
      <c r="A28" s="2">
        <v>18481</v>
      </c>
      <c r="B28" t="s">
        <v>6</v>
      </c>
      <c r="C28" t="s">
        <v>12</v>
      </c>
      <c r="D28" t="s">
        <v>16</v>
      </c>
      <c r="E28" s="3">
        <v>850000</v>
      </c>
      <c r="F28">
        <v>10</v>
      </c>
      <c r="G28" t="s">
        <v>29</v>
      </c>
      <c r="H28" s="8">
        <v>0</v>
      </c>
      <c r="I28" s="8">
        <v>170</v>
      </c>
    </row>
    <row r="29" spans="1:13" x14ac:dyDescent="0.2">
      <c r="C29" s="4"/>
      <c r="D29" s="4"/>
      <c r="L29"/>
      <c r="M29"/>
    </row>
    <row r="30" spans="1:13" x14ac:dyDescent="0.2">
      <c r="C30" s="4"/>
      <c r="D30" s="4"/>
      <c r="L30"/>
      <c r="M30"/>
    </row>
    <row r="31" spans="1:13" x14ac:dyDescent="0.2">
      <c r="C31" s="4"/>
      <c r="D31" s="4"/>
      <c r="L31"/>
      <c r="M31"/>
    </row>
    <row r="32" spans="1:13" x14ac:dyDescent="0.2">
      <c r="C32" s="4"/>
      <c r="D32" s="4"/>
      <c r="L32"/>
      <c r="M32"/>
    </row>
    <row r="33" spans="3:13" x14ac:dyDescent="0.2">
      <c r="C33" s="4"/>
      <c r="D33" s="4"/>
      <c r="L33"/>
      <c r="M33"/>
    </row>
    <row r="34" spans="3:13" x14ac:dyDescent="0.2">
      <c r="C34" s="4"/>
      <c r="D34" s="4"/>
      <c r="L34"/>
      <c r="M34"/>
    </row>
    <row r="35" spans="3:13" x14ac:dyDescent="0.2">
      <c r="C35" s="4"/>
      <c r="D35" s="4"/>
      <c r="L35"/>
      <c r="M35"/>
    </row>
    <row r="36" spans="3:13" x14ac:dyDescent="0.2">
      <c r="C36" s="4"/>
      <c r="D36" s="4"/>
      <c r="L36"/>
      <c r="M36"/>
    </row>
    <row r="37" spans="3:13" x14ac:dyDescent="0.2">
      <c r="C37" s="4"/>
      <c r="D37" s="4"/>
      <c r="L37"/>
      <c r="M37"/>
    </row>
    <row r="38" spans="3:13" x14ac:dyDescent="0.2">
      <c r="C38" s="4"/>
      <c r="D38" s="4"/>
      <c r="L38"/>
      <c r="M38"/>
    </row>
    <row r="39" spans="3:13" x14ac:dyDescent="0.2">
      <c r="C39" s="4"/>
      <c r="D39" s="4"/>
      <c r="L39"/>
      <c r="M39"/>
    </row>
    <row r="40" spans="3:13" x14ac:dyDescent="0.2">
      <c r="C40" s="4"/>
      <c r="D40" s="4"/>
      <c r="L40"/>
      <c r="M40"/>
    </row>
    <row r="41" spans="3:13" x14ac:dyDescent="0.2">
      <c r="C41" s="4"/>
      <c r="D41" s="4"/>
      <c r="L41"/>
      <c r="M41"/>
    </row>
    <row r="42" spans="3:13" x14ac:dyDescent="0.2">
      <c r="C42" s="4"/>
      <c r="D42" s="4"/>
      <c r="L42"/>
      <c r="M42"/>
    </row>
    <row r="43" spans="3:13" x14ac:dyDescent="0.2">
      <c r="C43" s="4"/>
      <c r="D43" s="4"/>
      <c r="L43"/>
      <c r="M43"/>
    </row>
    <row r="44" spans="3:13" x14ac:dyDescent="0.2">
      <c r="C44" s="4"/>
      <c r="D44" s="4"/>
      <c r="L44"/>
      <c r="M44"/>
    </row>
  </sheetData>
  <mergeCells count="4">
    <mergeCell ref="O1:Q1"/>
    <mergeCell ref="O8:Q8"/>
    <mergeCell ref="O11:Q11"/>
    <mergeCell ref="O7:P7"/>
  </mergeCells>
  <conditionalFormatting sqref="F3">
    <cfRule type="iconSet" priority="6">
      <iconSet iconSet="4TrafficLights">
        <cfvo type="percent" val="0"/>
        <cfvo type="num" val="7"/>
        <cfvo type="num" val="8"/>
        <cfvo type="num" val="9"/>
      </iconSet>
    </cfRule>
  </conditionalFormatting>
  <conditionalFormatting sqref="F9:F22">
    <cfRule type="iconSet" priority="12">
      <iconSet iconSet="4TrafficLights">
        <cfvo type="percent" val="0"/>
        <cfvo type="num" val="7"/>
        <cfvo type="num" val="8"/>
        <cfvo type="num" val="9"/>
      </iconSet>
    </cfRule>
  </conditionalFormatting>
  <conditionalFormatting sqref="F26:F28">
    <cfRule type="iconSet" priority="8">
      <iconSet iconSet="4TrafficLights">
        <cfvo type="percent" val="0"/>
        <cfvo type="num" val="7"/>
        <cfvo type="num" val="8"/>
        <cfvo type="num" val="9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May 2021</vt:lpstr>
      <vt:lpstr>Criteria</vt:lpstr>
      <vt:lpstr>Extract</vt:lpstr>
      <vt:lpstr>Extraxt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Korman</dc:creator>
  <cp:lastModifiedBy>Joseph Korman</cp:lastModifiedBy>
  <dcterms:created xsi:type="dcterms:W3CDTF">2025-02-13T20:04:41Z</dcterms:created>
  <dcterms:modified xsi:type="dcterms:W3CDTF">2025-02-17T16:41:30Z</dcterms:modified>
</cp:coreProperties>
</file>